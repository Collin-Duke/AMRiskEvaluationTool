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https://ntps.sharepoint.com/sites/AdditiveManufacturingPaper20262/Shared Documents/General/"/>
    </mc:Choice>
  </mc:AlternateContent>
  <xr:revisionPtr revIDLastSave="4220" documentId="8_{03EA8AD7-9B94-479A-AB15-31A26E32FD2F}" xr6:coauthVersionLast="47" xr6:coauthVersionMax="47" xr10:uidLastSave="{CFE1FB54-76EF-4278-97A2-20F2EEDD70E8}"/>
  <bookViews>
    <workbookView xWindow="-28920" yWindow="11460" windowWidth="29040" windowHeight="15720" xr2:uid="{7FF101E2-BB9D-46E0-A08A-E558C58DC2F5}"/>
  </bookViews>
  <sheets>
    <sheet name="START HERE" sheetId="10" r:id="rId1"/>
    <sheet name="DfAM" sheetId="1" r:id="rId2"/>
    <sheet name="3D Print Risk" sheetId="7" r:id="rId3"/>
    <sheet name="Human Interface Risk" sheetId="11" r:id="rId4"/>
    <sheet name="Bypass Option" sheetId="6" r:id="rId5"/>
    <sheet name="Flight Environment Risk Part 1" sheetId="9" r:id="rId6"/>
    <sheet name="Flight Environment Risk Part 2" sheetId="8" r:id="rId7"/>
    <sheet name="Risk Matrix OUTPUT" sheetId="3"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9" i="11" l="1"/>
  <c r="F34" i="8"/>
  <c r="N18" i="1"/>
  <c r="I10" i="11"/>
  <c r="I11" i="11"/>
  <c r="I12" i="11"/>
  <c r="E15" i="9"/>
  <c r="C4" i="3" s="1"/>
  <c r="C3" i="3"/>
  <c r="G32" i="8"/>
  <c r="G31" i="8"/>
  <c r="G30" i="8"/>
  <c r="G29" i="8"/>
  <c r="G28" i="8"/>
  <c r="G27" i="8"/>
  <c r="G26" i="8"/>
  <c r="G25" i="8"/>
  <c r="G24" i="8"/>
  <c r="G23" i="8"/>
  <c r="G22" i="8"/>
  <c r="G21" i="8"/>
  <c r="G20" i="8"/>
  <c r="G19" i="8"/>
  <c r="G18" i="8"/>
  <c r="G17" i="8"/>
  <c r="G13" i="8"/>
  <c r="G14" i="8"/>
  <c r="G15" i="8"/>
  <c r="G16" i="8"/>
  <c r="G12" i="8"/>
  <c r="G9" i="8"/>
  <c r="G10" i="8"/>
  <c r="G11" i="8"/>
  <c r="G8" i="8"/>
  <c r="H14" i="11" l="1"/>
  <c r="C5" i="3"/>
  <c r="I13" i="11"/>
  <c r="G33" i="8"/>
  <c r="G28" i="7"/>
  <c r="G27" i="7"/>
  <c r="G23" i="7"/>
  <c r="G24" i="7"/>
  <c r="G25" i="7"/>
  <c r="G26" i="7"/>
  <c r="G22" i="7"/>
  <c r="G20" i="7"/>
  <c r="G21" i="7"/>
  <c r="G19" i="7"/>
  <c r="G14" i="7"/>
  <c r="G15" i="7"/>
  <c r="G16" i="7"/>
  <c r="G17" i="7"/>
  <c r="G18" i="7"/>
  <c r="G9" i="7"/>
  <c r="G10" i="7"/>
  <c r="G11" i="7"/>
  <c r="G12" i="7"/>
  <c r="G13" i="7"/>
  <c r="G8" i="7"/>
  <c r="N17" i="1"/>
  <c r="P17" i="1" s="1"/>
  <c r="P18" i="1"/>
  <c r="N16" i="1"/>
  <c r="P16" i="1" s="1"/>
  <c r="N7" i="1"/>
  <c r="P7" i="1" s="1"/>
  <c r="N8" i="1"/>
  <c r="P8" i="1" s="1"/>
  <c r="N9" i="1"/>
  <c r="P9" i="1" s="1"/>
  <c r="N10" i="1"/>
  <c r="P10" i="1" s="1"/>
  <c r="N6" i="1"/>
  <c r="P6" i="1" s="1"/>
  <c r="F30" i="7" l="1"/>
  <c r="G29" i="7"/>
  <c r="T5" i="1"/>
  <c r="V5" i="1" s="1"/>
  <c r="C6" i="3" l="1"/>
  <c r="F12" i="3" l="1"/>
  <c r="F11" i="3"/>
  <c r="J11" i="3"/>
  <c r="G11" i="3"/>
  <c r="F13" i="3"/>
  <c r="I14" i="3"/>
  <c r="H11" i="3"/>
  <c r="G14" i="3"/>
  <c r="I12" i="3"/>
  <c r="J14" i="3"/>
  <c r="H12" i="3"/>
  <c r="G12" i="3"/>
  <c r="F14" i="3"/>
  <c r="J12" i="3"/>
  <c r="J13" i="3"/>
  <c r="H13" i="3"/>
  <c r="I13" i="3"/>
  <c r="I11" i="3"/>
  <c r="H14" i="3"/>
  <c r="G13"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futureMetadata>
  <valueMetadata count="3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valueMetadata>
</metadata>
</file>

<file path=xl/sharedStrings.xml><?xml version="1.0" encoding="utf-8"?>
<sst xmlns="http://schemas.openxmlformats.org/spreadsheetml/2006/main" count="479" uniqueCount="321">
  <si>
    <t>Complexity</t>
  </si>
  <si>
    <t>Functionality</t>
  </si>
  <si>
    <t>Material Removal</t>
  </si>
  <si>
    <t>Unsupported Features</t>
  </si>
  <si>
    <t>Sum Across Rows</t>
  </si>
  <si>
    <t>Totals</t>
  </si>
  <si>
    <t>The part can be made in a mill or lathe, but only after repositioning it in the clamp at least once</t>
  </si>
  <si>
    <t>There are interior features or surface curvature is too complex to be machined</t>
  </si>
  <si>
    <t>Mating surfaces are bearing surfaces, or are expected to endure for 1000+ of cycles</t>
  </si>
  <si>
    <t>Mating surfaces move significantly, experience large forces, or must endure 100-1000 cycles</t>
  </si>
  <si>
    <t>Mating surfaces move somewhat, experience moderate forces, or are expected to last 10-100 cycles</t>
  </si>
  <si>
    <t>Mating surfaces will move minimally, experience low forces, or are intended to endure 2-10 cycles</t>
  </si>
  <si>
    <t>Surfaces are purely non-functional or experience virtually no cycles</t>
  </si>
  <si>
    <t>The part curvatiure is complex (splines or arcs) for a machining operation such as a mill or lathe</t>
  </si>
  <si>
    <t>Simple parts are inefficient for AM</t>
  </si>
  <si>
    <t>Mark
One</t>
  </si>
  <si>
    <t>The part is smaller than or the same size as the required support structure</t>
  </si>
  <si>
    <t>There are small gaps that will require support structures</t>
  </si>
  <si>
    <t>Internal cavities, channels, or holes do not have openings for removing materials</t>
  </si>
  <si>
    <t>Material can be easily removed from internal cavities, channels, or holes</t>
  </si>
  <si>
    <t>There are no internal cavities, channels, or holes</t>
  </si>
  <si>
    <t>There are long, unsupported features</t>
  </si>
  <si>
    <t>There are short, unsupported features</t>
  </si>
  <si>
    <t>Overhang features have a sloped support</t>
  </si>
  <si>
    <t>Overhanging feautres have a minimum of 45deg support</t>
  </si>
  <si>
    <t>Part is oriented so there are no overhanging features</t>
  </si>
  <si>
    <t>AM parts are light and medium duty</t>
  </si>
  <si>
    <t>Support structures ruin surface finish</t>
  </si>
  <si>
    <t>Unsupported features will droop</t>
  </si>
  <si>
    <t>x5</t>
  </si>
  <si>
    <t>x4</t>
  </si>
  <si>
    <t>x3</t>
  </si>
  <si>
    <t>x2</t>
  </si>
  <si>
    <t>x1</t>
  </si>
  <si>
    <t>+</t>
  </si>
  <si>
    <t>Thin Features</t>
  </si>
  <si>
    <t>Thin features will almost always break</t>
  </si>
  <si>
    <t>Mating parts should not be the same size</t>
  </si>
  <si>
    <t>Large, flat areas tend to warp</t>
  </si>
  <si>
    <t>Interior corners must transition gradually</t>
  </si>
  <si>
    <t>Some walls are less than 1/16" (1.5mm) thick</t>
  </si>
  <si>
    <t>Walls are between 1/16" (1.5mm) and 1/8" (3mm) thick</t>
  </si>
  <si>
    <t>Walls are more than 1/8" (3mm) thick</t>
  </si>
  <si>
    <t>Interior corners have chamfers, fillets, and/or ribs</t>
  </si>
  <si>
    <t>Interior corners have generous chamfers, fillets, and/or ribs</t>
  </si>
  <si>
    <t>Interior corners have no chamfer, fillet, or rib</t>
  </si>
  <si>
    <t>Hole or length dimensions are nominal</t>
  </si>
  <si>
    <t>Hole or length tolerances are adjusted for shrinkage or fit</t>
  </si>
  <si>
    <t>Hole and length tolerances are considered or are not important</t>
  </si>
  <si>
    <t>The part has large, flat surfaces or has a form that is important to be exact</t>
  </si>
  <si>
    <t>The part has medium-sized, flat surfaces, or forms that are /should be close to exact</t>
  </si>
  <si>
    <t>The part has small or not flat surfaces, or forms that need to be exact</t>
  </si>
  <si>
    <t>Overall Total:</t>
  </si>
  <si>
    <t>33-40</t>
  </si>
  <si>
    <t>24-32</t>
  </si>
  <si>
    <t>Consider redesign</t>
  </si>
  <si>
    <t>16-23</t>
  </si>
  <si>
    <t>Moderate likelihood of success</t>
  </si>
  <si>
    <t>Higher likelihood of success</t>
  </si>
  <si>
    <t>Needs redesign</t>
  </si>
  <si>
    <t>8-15</t>
  </si>
  <si>
    <t>Fastener tension pulls the insert/nut deeper into the plastic pocket rather than pulling it directly outward along its insertion axis.</t>
  </si>
  <si>
    <t>The slicer's Z-seam location is placed away from high-stress geometric features or bolt holes.</t>
  </si>
  <si>
    <t>The part geometry avoids cantilevered loads that place pure shear stress along a single layer line.</t>
  </si>
  <si>
    <t>The infill is sufficient to provide a strong part that will not break under expected loading conditions.</t>
  </si>
  <si>
    <t>Overhanging parts are properly supported or angles do not exceed 45 degrees from vertical.</t>
  </si>
  <si>
    <t>The print has sufficient bed adhesion zones to prevent warping or bed separation.</t>
  </si>
  <si>
    <t>Internal corners and load-bearing steps feature fillets or chamfers rather than sharp 90-degree transitions.</t>
  </si>
  <si>
    <t>There are sufficient walls around structural holes (minimum 4 perimeter walls or 1.6 mm shell thickness).</t>
  </si>
  <si>
    <t>The wall thickness surrounding heat-set inserts or press-fit hardware is at least 2 times the insert diameter.</t>
  </si>
  <si>
    <t>Bolts passing through the print clamp onto continuous solid plastic (100% infill/wall perimeter zone) to prevent crushing.</t>
  </si>
  <si>
    <t>The part's build orientation aligns maximum tensile stresses along continuous extrusion paths (rasters).</t>
  </si>
  <si>
    <t>The filament used for this print was stored in a controlled low-humidity environment and/or dried prior to extrusion.</t>
  </si>
  <si>
    <t>Extrusion temperature is optimized for maximum layer bonding rather than speed.</t>
  </si>
  <si>
    <t>The selected infill pattern and its slicer orientation are aligned with the expected load path (e.g., 2D honeycomb parallel to compressive loads) OR a 3D isotropic pattern (e.g., Gyroid) is used for multi-axis loading.</t>
  </si>
  <si>
    <t>Bolted interfaces subject to compressive clamping forces use washers or load-spreading plates to prevent localized yield of the polymer.</t>
  </si>
  <si>
    <t>If loaded in tension or bending, extrusion paths are aligned parallel to the tension vector; if loaded in pure compression, layer lines are oriented perpendicular to the compressive force to prevent layer-sliding shear.</t>
  </si>
  <si>
    <t>Layer height is maintained within 20% to 50% of the nozzle diameter (e.g., 0.16 mm to 0.24 mm for a standard 0.4 mm nozzle) to balance thermal bonding and dimensional accuracy.</t>
  </si>
  <si>
    <t>Non-Printed Inserts</t>
  </si>
  <si>
    <t>Captive hardware pockets feature press-fit tolerances or localized adhesive (e.g., CA glue) to prevent parts or magnets from moving or lifting during nozzle motion.</t>
  </si>
  <si>
    <t>Pockets for metal embedded hardware include adequate surrounding wall mass to absorb thermal shock and prevent localized cold-joint layer delamination around the insertion site.</t>
  </si>
  <si>
    <t>High</t>
  </si>
  <si>
    <t>Probable</t>
  </si>
  <si>
    <t>Uncertain</t>
  </si>
  <si>
    <t>Remote</t>
  </si>
  <si>
    <t>Improbable</t>
  </si>
  <si>
    <t>Catastrophic</t>
  </si>
  <si>
    <t>Critical</t>
  </si>
  <si>
    <t>Marginal</t>
  </si>
  <si>
    <t>Negligible</t>
  </si>
  <si>
    <t>To utilize this fast track option, your print must meet the following criteria:</t>
  </si>
  <si>
    <t>Part must be utilized for ground activities only, the part WILL NOT see a flight environment</t>
  </si>
  <si>
    <t>Part will be labeled something to the extent of "NOT FOR FLIGHT USE" or "REMOVE BEFORE FLIGHT" as applicable</t>
  </si>
  <si>
    <t>Category</t>
  </si>
  <si>
    <t>Criteria</t>
  </si>
  <si>
    <t>Weight</t>
  </si>
  <si>
    <t>Score</t>
  </si>
  <si>
    <t>Compliance</t>
  </si>
  <si>
    <t>Partially Compliant</t>
  </si>
  <si>
    <t>Fully Compliant</t>
  </si>
  <si>
    <t>N/A</t>
  </si>
  <si>
    <t>Select the tier that best matches your design:</t>
  </si>
  <si>
    <t>*Select Compliance*</t>
  </si>
  <si>
    <t>Severity</t>
  </si>
  <si>
    <t>Probability</t>
  </si>
  <si>
    <t>Structural Alignment 
&amp; 
Slicer Control</t>
  </si>
  <si>
    <t>Geometry 
&amp; 
Printability</t>
  </si>
  <si>
    <t>Quality 
&amp; 
Secondary Safeguards</t>
  </si>
  <si>
    <t>Fasteners 
&amp; 
Mechanical Interfaces</t>
  </si>
  <si>
    <t>Total Risk:</t>
  </si>
  <si>
    <t>ID</t>
  </si>
  <si>
    <t>Risk Score:</t>
  </si>
  <si>
    <t>The CAD model incorporates integrated mounting points, pass-through features, or intentional features for secondary retention.</t>
  </si>
  <si>
    <t>44.1%-55.0%</t>
  </si>
  <si>
    <t>55.1%-66.0%</t>
  </si>
  <si>
    <t>66.1%-78.0%</t>
  </si>
  <si>
    <t>&gt;78.0%</t>
  </si>
  <si>
    <t>≤44.0%</t>
  </si>
  <si>
    <t>Inspectability &amp; Maintainability</t>
  </si>
  <si>
    <t>Material tolerates any fluid contact it may encounter.</t>
  </si>
  <si>
    <t>Material tolerates the expected UV exposure over its service life.</t>
  </si>
  <si>
    <t>Part tolerates expected altitude/pressure and cold-soak cycling for the mission profile.</t>
  </si>
  <si>
    <t>Material tolerates the cabin/compartment temperature extremes expected, including post-flight thermal soak if left installed.</t>
  </si>
  <si>
    <t>Material tolerates the expected operational loads/vibration/cycling.</t>
  </si>
  <si>
    <t>Maintains full, unobstructed emergency entry/egress/escape routes.</t>
  </si>
  <si>
    <t>Under vibration or flex, part does not contact adjacent structure, wiring, or control runs it doesn't contact at rest.</t>
  </si>
  <si>
    <t>Installed clear of avionics wiring/harnesses, so debris couldn't cause an electrical short or interference.</t>
  </si>
  <si>
    <t>Physically accessible to pilot/crew during normal ops without creating a distraction hazard.</t>
  </si>
  <si>
    <t>If subject to aerodynamic loading, expected loads have been characterized and accounted for in material/print selection.</t>
  </si>
  <si>
    <t>Part geometry provides sufficient flat/planar surface area or built-in features to allow a secure, reliable attachment method (tape, clamp, bonding surface) appropriate to the loads expected.</t>
  </si>
  <si>
    <t>In the event of structural failure/detachment, trajectory is constrained to prevent migration into critical flight areas.</t>
  </si>
  <si>
    <t>Component has a secondary retention method (tether, lanyard, integrated anchor point, wrap, or equivalent) appropriate to the consequence of failure.</t>
  </si>
  <si>
    <t>In the event of catastrophic layer delamination, geometry or retention prevents uncontrolled FOD debris.</t>
  </si>
  <si>
    <t>Non-Compliant</t>
  </si>
  <si>
    <t>If external hardware is used, it's secured against loosening or generating loose FOD.</t>
  </si>
  <si>
    <t>If directly attached, part has a designed failure mode that limits debris size on release.</t>
  </si>
  <si>
    <t>If directly attached, mounting interface resists loosening under expected vibration.</t>
  </si>
  <si>
    <t>Part mass/location doesn't present a strike hazard to occupants under turbulence or negative-g.</t>
  </si>
  <si>
    <t>If fractured, broken edges/geometry don't present a laceration or puncture hazard to crew.</t>
  </si>
  <si>
    <t>Installed location doesn't create an entrapment or pinch hazard.</t>
  </si>
  <si>
    <t>Thermal 
&amp; 
Environmental Exposure</t>
  </si>
  <si>
    <t>Spatial Proximity 
&amp; 
Critical System Interference</t>
  </si>
  <si>
    <t>Aerodynamic 
&amp; 
Structural Loading</t>
  </si>
  <si>
    <t>Mounting, Hardware 
&amp; 
FOD Mitigation</t>
  </si>
  <si>
    <t>Failure Consequence 
&amp; 
Retention</t>
  </si>
  <si>
    <t>Human Injury 
&amp; 
Ergonomic Hazard</t>
  </si>
  <si>
    <t>Part can be visually inspected for early failure signs (delamination onset, stress-whitening, warping) during a normal preflight without disassembly.</t>
  </si>
  <si>
    <t>If the part or its attachment features (holes, flanges, tabs) are subject to repeated install/removal cycling, that cycling doesn't degrade the attachment point faster than the material's general service life would suggest.</t>
  </si>
  <si>
    <t>If this part has been reprinted/replaced before, prior units' condition at removal has been used to inform whether the current replacement interval is adequate.</t>
  </si>
  <si>
    <t>Part is stored in a controlled environment between printing and installation, rather than accumulating UV/thermal/humidity exposure before it's even in service.</t>
  </si>
  <si>
    <t>Immediate Disqualifiers</t>
  </si>
  <si>
    <t>All features MUST be FULLY COMPLIANT to continue with the framework. This is a Go/No-Go gate)</t>
  </si>
  <si>
    <t>Pass/Fail?</t>
  </si>
  <si>
    <t>If externally mounted hardware is used, that hardware itself is FOD-mitigated (captured, safety-wired, or equivalent)</t>
  </si>
  <si>
    <t>Bypass?</t>
  </si>
  <si>
    <t>Final Severity</t>
  </si>
  <si>
    <t>Final Probability</t>
  </si>
  <si>
    <t>DfAM Score</t>
  </si>
  <si>
    <t>Risk Score</t>
  </si>
  <si>
    <t xml:space="preserve"> 8-14</t>
  </si>
  <si>
    <t xml:space="preserve"> 15-20</t>
  </si>
  <si>
    <t xml:space="preserve"> 21-27</t>
  </si>
  <si>
    <t xml:space="preserve"> 28-33</t>
  </si>
  <si>
    <t xml:space="preserve"> 34-40</t>
  </si>
  <si>
    <t>Framework Output:</t>
  </si>
  <si>
    <r>
      <t>Fully Compliant</t>
    </r>
    <r>
      <rPr>
        <sz val="14"/>
        <color theme="1"/>
        <rFont val="Aptos Narrow"/>
        <family val="2"/>
        <scheme val="minor"/>
      </rPr>
      <t xml:space="preserve"> — a specific value was chosen </t>
    </r>
    <r>
      <rPr>
        <i/>
        <sz val="14"/>
        <color theme="1"/>
        <rFont val="Aptos Narrow"/>
        <family val="2"/>
        <scheme val="minor"/>
      </rPr>
      <t>and</t>
    </r>
    <r>
      <rPr>
        <sz val="14"/>
        <color theme="1"/>
        <rFont val="Aptos Narrow"/>
        <family val="2"/>
        <scheme val="minor"/>
      </rPr>
      <t xml:space="preserve"> checked against this part's actual expected load/geometry (by calculation, test, reference, or comparison to a similar qualified part).</t>
    </r>
  </si>
  <si>
    <r>
      <t>Partially Compliant</t>
    </r>
    <r>
      <rPr>
        <sz val="14"/>
        <color theme="1"/>
        <rFont val="Aptos Narrow"/>
        <family val="2"/>
        <scheme val="minor"/>
      </rPr>
      <t xml:space="preserve"> — a value was chosen, but it wasn't checked against the actual load case (e.g., a slicer default was left in place without review).</t>
    </r>
  </si>
  <si>
    <r>
      <t>Non-Compliant</t>
    </r>
    <r>
      <rPr>
        <sz val="14"/>
        <color theme="1"/>
        <rFont val="Aptos Narrow"/>
        <family val="2"/>
        <scheme val="minor"/>
      </rPr>
      <t xml:space="preserve"> — no consideration was given, or a known-weak feature exists with no mitigation.</t>
    </r>
  </si>
  <si>
    <r>
      <rPr>
        <b/>
        <sz val="14"/>
        <color theme="1"/>
        <rFont val="Aptos Narrow"/>
        <family val="2"/>
        <scheme val="minor"/>
      </rPr>
      <t xml:space="preserve">N/A - </t>
    </r>
    <r>
      <rPr>
        <sz val="14"/>
        <color theme="1"/>
        <rFont val="Aptos Narrow"/>
        <family val="2"/>
        <scheme val="minor"/>
      </rPr>
      <t>Feature not present</t>
    </r>
  </si>
  <si>
    <r>
      <rPr>
        <b/>
        <u/>
        <sz val="14"/>
        <color theme="1"/>
        <rFont val="Aptos Narrow"/>
        <family val="2"/>
        <scheme val="minor"/>
      </rPr>
      <t>Problem Statement:</t>
    </r>
    <r>
      <rPr>
        <sz val="14"/>
        <color theme="1"/>
        <rFont val="Aptos Narrow"/>
        <family val="2"/>
        <scheme val="minor"/>
      </rPr>
      <t xml:space="preserve">
Existing test and safety review processes address risk from a general test perspective but do not quantitatively account for failure mode characteristics of polymer Fused Deposition Modeling (FDM) construction, such as layer delamination, thermal creep, and Ultraviolet (UV) degradation. This proposed framework augments existing processes with AM-specific guidance for evaluating these failure modes.
To address these challenges, this paper presents a structured risk evaluation framework for polymer FDM-printed components, accounting for operational considerations such as heat and sun exposure, diverse flight loads, and the frequency at which parts are printed and replaced. The framework establishes material selection decisions, print parameter control, and a consequence-based risk matrix tailored to AM-specific failure modes including layer delamination, thermal creep, and Ultraviolet (UV) degradation that, while not exclusive to AM, currently lack the qualified process basis available to materials such as composites. The framework further distinguishes between AM used to produce flightworthy prototype components supporting one or two aircraft and AM used for production components intended for fleet-wide service, where reliability requirements differ substantially. This framework is intended to provide a repeatable, documented process that supports configuration control and preserves institutional knowledge across personnel turnover.</t>
    </r>
  </si>
  <si>
    <t>Pass or Fail</t>
  </si>
  <si>
    <t>PASS</t>
  </si>
  <si>
    <r>
      <rPr>
        <b/>
        <sz val="14"/>
        <color theme="1"/>
        <rFont val="Aptos Narrow"/>
        <family val="2"/>
        <scheme val="minor"/>
      </rPr>
      <t>Control Cable/Linkage Interference</t>
    </r>
    <r>
      <rPr>
        <sz val="14"/>
        <color theme="1"/>
        <rFont val="Aptos Narrow"/>
        <family val="2"/>
        <scheme val="minor"/>
      </rPr>
      <t xml:space="preserve">
FAIL if the part is mounted within direct physical contact distance of a flight control cable, pushrod, or linkage, such that the maximum travel range of that cable, pushrod, or linkage (as specified in the aircraft's control system documentation or as physically observed through full-range actuation) brings it into contact with the part. (Example trigger: a printed cable guide or clamp positioned such that cable slack at full control deflection touches the part's edge.)</t>
    </r>
  </si>
  <si>
    <r>
      <rPr>
        <b/>
        <sz val="14"/>
        <color theme="1"/>
        <rFont val="Aptos Narrow"/>
        <family val="2"/>
        <scheme val="minor"/>
      </rPr>
      <t>Flammability/Ignition Proximity</t>
    </r>
    <r>
      <rPr>
        <sz val="14"/>
        <color theme="1"/>
        <rFont val="Aptos Narrow"/>
        <family val="2"/>
        <scheme val="minor"/>
      </rPr>
      <t xml:space="preserve">
FAIL if the material has no documented flame-resistance or self-extinguishing rating (e.g., no UL 94 rating or equivalent) AND the part is mounted within direct line-of-sight and physical exposure to a component that generates open flame, sustained temperatures above the material's rated service temperature, or sparking (e.g., an exhaust manifold, a battery terminal, or an electrical arc-fault point). Ambient warm air alone, with no direct exposure path, does not qualify.</t>
    </r>
  </si>
  <si>
    <r>
      <t xml:space="preserve">Material Verification
</t>
    </r>
    <r>
      <rPr>
        <sz val="14"/>
        <color theme="1"/>
        <rFont val="Aptos Narrow"/>
        <family val="2"/>
        <scheme val="minor"/>
      </rPr>
      <t>FAIL if the part's material identity, or any of its properties relevant to the part's intended application (e.g., thermal, mechanical, or chemical properties), has not been independently verified through testing, a credible material datasheet from the actual filament/resin manufacturer, or comparison to a previously validated and identical material and process combination, and instead relies solely on an assumption, a generic material class label, or an unverified claim from a vendor or third party.</t>
    </r>
  </si>
  <si>
    <t>Part is repeatedly gripped, torqued, or has mounting force applied directly to it as part of normal use, and print orientation/infill account for that applied load.</t>
  </si>
  <si>
    <t>Part is subject to repeated handling, and wall thickness at that contact surface accounts for expected abrasive wear.</t>
  </si>
  <si>
    <t>Part is susceptible to being dropped, impacted, or detaching from its mount during routine handling or egress, and print orientation/wall thickness account for impact survival.</t>
  </si>
  <si>
    <t>Part has a feature that an external object (tool, COTS device, cable, tape measure, etc.) is repeatedly inserted into or through, and wall thickness and print orientation accounts for repeated insertion wear and prying loads.</t>
  </si>
  <si>
    <t>Risk Score Rating</t>
  </si>
  <si>
    <t>ID 1 = Non-Compliant</t>
  </si>
  <si>
    <t>2 Non-Compliant</t>
  </si>
  <si>
    <t>&gt;= 3 Non-Compliant</t>
  </si>
  <si>
    <t>Risk Ratio Range</t>
  </si>
  <si>
    <t>0% – 15%</t>
  </si>
  <si>
    <t>16% – 32%</t>
  </si>
  <si>
    <t>33% – 52%</t>
  </si>
  <si>
    <t>53% – 70%</t>
  </si>
  <si>
    <t>71% – 100%</t>
  </si>
  <si>
    <t>†</t>
  </si>
  <si>
    <t>Consider a difference manufacturing process</t>
  </si>
  <si>
    <t>*</t>
  </si>
  <si>
    <t>Strongly consider a different manufacturing process</t>
  </si>
  <si>
    <r>
      <t xml:space="preserve">The part is mostly 2D and can be made in a mill or lathe without repositioning it in the clamp </t>
    </r>
    <r>
      <rPr>
        <b/>
        <sz val="16"/>
        <color theme="1"/>
        <rFont val="Aptos Narrow"/>
        <family val="2"/>
        <scheme val="minor"/>
      </rPr>
      <t>*</t>
    </r>
  </si>
  <si>
    <r>
      <t xml:space="preserve">The part is the same shape as common stock materials, or is completely 2D </t>
    </r>
    <r>
      <rPr>
        <b/>
        <sz val="16"/>
        <color theme="1"/>
        <rFont val="Aptos Narrow"/>
        <family val="2"/>
        <scheme val="minor"/>
      </rPr>
      <t>†</t>
    </r>
  </si>
  <si>
    <r>
      <rPr>
        <b/>
        <u/>
        <sz val="14"/>
        <color theme="1"/>
        <rFont val="Aptos Narrow"/>
        <family val="2"/>
        <scheme val="minor"/>
      </rPr>
      <t>Citation:</t>
    </r>
    <r>
      <rPr>
        <u/>
        <sz val="14"/>
        <color theme="1"/>
        <rFont val="Aptos Narrow"/>
        <family val="2"/>
        <scheme val="minor"/>
      </rPr>
      <t xml:space="preserve"> </t>
    </r>
    <r>
      <rPr>
        <sz val="14"/>
        <color theme="1"/>
        <rFont val="Aptos Narrow"/>
        <family val="2"/>
        <scheme val="minor"/>
      </rPr>
      <t xml:space="preserve">The Design for Additive Manufacturing Worksheetv by Joran W. Booth, 2015. This work is licensesd under the Creative Commons Attribution-NoDervies 4.0 International License. To view a copy of this license, visit http://creativecommons.org/licenses/by-nd/4.0/.
</t>
    </r>
    <r>
      <rPr>
        <i/>
        <sz val="14"/>
        <color theme="1"/>
        <rFont val="Aptos Narrow"/>
        <family val="2"/>
        <scheme val="minor"/>
      </rPr>
      <t xml:space="preserve">The author of this AM Risk Framework was given permission by Joran W. Booth to derive the DfAM worksheet into Excel for purposes of this framework.
</t>
    </r>
  </si>
  <si>
    <t>Human -  Part Interface</t>
  </si>
  <si>
    <t>If all above criteria is NOT met, proceed to next step.</t>
  </si>
  <si>
    <r>
      <rPr>
        <b/>
        <u/>
        <sz val="18"/>
        <color theme="1"/>
        <rFont val="Aptos Narrow"/>
        <family val="2"/>
        <scheme val="minor"/>
      </rPr>
      <t>Instructions</t>
    </r>
    <r>
      <rPr>
        <b/>
        <sz val="18"/>
        <color theme="1"/>
        <rFont val="Aptos Narrow"/>
        <family val="2"/>
        <scheme val="minor"/>
      </rPr>
      <t>:  Mark one for each category for the part you plan to print. Check daggers and stars first, then scores.</t>
    </r>
  </si>
  <si>
    <t>Weight:</t>
  </si>
  <si>
    <r>
      <t xml:space="preserve">A specific value was chosen </t>
    </r>
    <r>
      <rPr>
        <i/>
        <sz val="14"/>
        <color theme="1"/>
        <rFont val="Aptos Narrow"/>
        <family val="2"/>
        <scheme val="minor"/>
      </rPr>
      <t>and</t>
    </r>
    <r>
      <rPr>
        <sz val="14"/>
        <color theme="1"/>
        <rFont val="Aptos Narrow"/>
        <family val="2"/>
        <scheme val="minor"/>
      </rPr>
      <t xml:space="preserve"> checked against this part's actual expected load/geometry (by calculation, test, reference, or comparison to a similar qualified part).</t>
    </r>
  </si>
  <si>
    <t>A value was chosen, but it wasn't checked against the actual load case (e.g., a slicer default was left in place without review).</t>
  </si>
  <si>
    <t>No consideration was given, or a known-weak feature exists with no mitigation.</t>
  </si>
  <si>
    <t>Feature not present</t>
  </si>
  <si>
    <t>Risk Classification</t>
  </si>
  <si>
    <t>Description</t>
  </si>
  <si>
    <t>Design decisions were checked against actual load/geometry; standard, predictable print behavior expected.</t>
  </si>
  <si>
    <t>Minor unreviewed parameters; low likelihood of a structural deficiency.</t>
  </si>
  <si>
    <t>Several unreviewed or default parameters; mechanical behavior under load is unpredictable.</t>
  </si>
  <si>
    <t>Multiple major design rules unaddressed; failure is likely within the expected flight envelope.</t>
  </si>
  <si>
    <t>Critical, unmitigated design flaws present; failure is expected.</t>
  </si>
  <si>
    <t>Special Condition 1</t>
  </si>
  <si>
    <t>If any weight 4 is labeled non-compliant lowest risk probability is "Probable"</t>
  </si>
  <si>
    <t>Special Condition 2</t>
  </si>
  <si>
    <t>If 3 (quantity) or more weight 4 labeled non-compliant lowest risk probability is "High"</t>
  </si>
  <si>
    <t>Classification</t>
  </si>
  <si>
    <t>Definition</t>
  </si>
  <si>
    <t>Minor</t>
  </si>
  <si>
    <t>Represents a quality, cosmetic, or minor deviation with negligible impact on structural or functional integrity.</t>
  </si>
  <si>
    <t>Moderate</t>
  </si>
  <si>
    <t>Major</t>
  </si>
  <si>
    <t>Represents a significant degradation in strength, reliability, or margin; unaddressed, it substantially increases the likelihood or severity of failure.</t>
  </si>
  <si>
    <t>Represents a catastrophic or single-point-of-failure condition; if unaddressed, this factor alone can directly cause structural failure, loss of function, or harm.</t>
  </si>
  <si>
    <t>Instructions:</t>
  </si>
  <si>
    <t>Handling and functional loads were identified and designed for; wear is expected to remain within normal tolerances.</t>
  </si>
  <si>
    <t>Minor handling considerations left unreviewed; low likelihood of handling-induced damage.</t>
  </si>
  <si>
    <t>Several handling loads or wear points unaddressed; damage from normal use is unpredictable.</t>
  </si>
  <si>
    <t>Multiple significant handling loads unaddressed; damage or failure from routine use is likely.</t>
  </si>
  <si>
    <t>Critical handling loads unmitigated; failure from normal handling is expected.</t>
  </si>
  <si>
    <r>
      <rPr>
        <b/>
        <sz val="14"/>
        <color theme="1"/>
        <rFont val="Aptos Narrow"/>
        <family val="2"/>
        <scheme val="minor"/>
      </rPr>
      <t xml:space="preserve">Engine/Rotating Machinery Proximity </t>
    </r>
    <r>
      <rPr>
        <sz val="14"/>
        <color theme="1"/>
        <rFont val="Aptos Narrow"/>
        <family val="2"/>
        <scheme val="minor"/>
      </rPr>
      <t xml:space="preserve">
FAIL if the part is located within or near an engine intake, exhaust path, or any zone where a rotating component could ingest debris from it, or where softening or collapse could restrict airflow, AND the part's design and material have NOT been analyzed to be sufficient for that thermal and mechanical environment.</t>
    </r>
  </si>
  <si>
    <r>
      <rPr>
        <b/>
        <sz val="14"/>
        <color theme="1"/>
        <rFont val="Aptos Narrow"/>
        <family val="2"/>
        <scheme val="minor"/>
      </rPr>
      <t>Explosive/Pyrotechnic Proximity</t>
    </r>
    <r>
      <rPr>
        <sz val="14"/>
        <color theme="1"/>
        <rFont val="Aptos Narrow"/>
        <family val="2"/>
        <scheme val="minor"/>
      </rPr>
      <t xml:space="preserve">
FAIL if the part interfaces with or is located near any explosive or pyrotechnic device (e.g., ejection seat components, canopy jettison, cartridge-actuated devices), AND the part's design and material have NOT been analyzed and verified as compatible with that device's certification requirements and operating environment.</t>
    </r>
  </si>
  <si>
    <t>Stress Concentrations</t>
  </si>
  <si>
    <t>Tolerances</t>
  </si>
  <si>
    <t>Geometric Exactness</t>
  </si>
  <si>
    <t>Percentage Allotment</t>
  </si>
  <si>
    <t>a. Fully, Partially, Non-Compliant, or Not Applicable (N/A)</t>
  </si>
  <si>
    <t>1. Answer each question to the best of your ability (Select level of compliance)</t>
  </si>
  <si>
    <t>2. Read Final Total Score, Provides that specific tab’s Risk Probability</t>
  </si>
  <si>
    <r>
      <rPr>
        <b/>
        <sz val="14"/>
        <color theme="1"/>
        <rFont val="Aptos Narrow"/>
        <family val="2"/>
        <scheme val="minor"/>
      </rPr>
      <t>Flight-Critical Load Path Redundancy</t>
    </r>
    <r>
      <rPr>
        <sz val="14"/>
        <color theme="1"/>
        <rFont val="Aptos Narrow"/>
        <family val="2"/>
        <scheme val="minor"/>
      </rPr>
      <t xml:space="preserve">
FAIL if removing this part alone, with no other change, would cause loss of function of a flight-critical component, and no separate, independently load-bearing structural element also performs that function. 
Does not apply where the part is the as-designed primary structure of a purpose-built vehicle or system (e.g., a printed airframe designed from the outset to be the sole structure), since in that case the load path is an intentional design choice rather than an unreviewed substitution. (Example trigger: a printed bracket installed to replace or support a control linkage, where no original metal bracket or backup fastening remains.)</t>
    </r>
  </si>
  <si>
    <t>Part is inspected on a defined interval and replaced at first sign of degradation, rather than relied on long-term.</t>
  </si>
  <si>
    <t>For reference only — not a safety determination. Final risk acceptance rests with the engineer and/or Safety Review Board."</t>
  </si>
  <si>
    <r>
      <t xml:space="preserve">If all above criteria is met, </t>
    </r>
    <r>
      <rPr>
        <b/>
        <u/>
        <sz val="14"/>
        <color theme="1"/>
        <rFont val="Aptos Narrow"/>
        <family val="2"/>
        <scheme val="minor"/>
      </rPr>
      <t>click the checkbox</t>
    </r>
    <r>
      <rPr>
        <b/>
        <sz val="14"/>
        <color theme="1"/>
        <rFont val="Aptos Narrow"/>
        <family val="2"/>
        <scheme val="minor"/>
      </rPr>
      <t xml:space="preserve"> then proceed to OUTPUT.</t>
    </r>
  </si>
  <si>
    <r>
      <t xml:space="preserve">A specific value was chosen </t>
    </r>
    <r>
      <rPr>
        <i/>
        <sz val="14"/>
        <color theme="1"/>
        <rFont val="Aptos Narrow"/>
        <family val="2"/>
        <scheme val="minor"/>
      </rPr>
      <t>and</t>
    </r>
    <r>
      <rPr>
        <sz val="14"/>
        <color theme="1"/>
        <rFont val="Aptos Narrow"/>
        <family val="2"/>
        <scheme val="minor"/>
      </rPr>
      <t xml:space="preserve"> checked against this part's actual expected load/geometry.</t>
    </r>
  </si>
  <si>
    <t>A value was chosen, but it wasn't checked against the actual load case.</t>
  </si>
  <si>
    <t>Feature not present.</t>
  </si>
  <si>
    <t>≤40.0%</t>
  </si>
  <si>
    <t>Minimal unmitigated risk factors; no meaningful consequence pathway present if a failure occurred.</t>
  </si>
  <si>
    <t>40.1%-65.0%</t>
  </si>
  <si>
    <t>65.1%-85.0%</t>
  </si>
  <si>
    <t>&gt;85.0%</t>
  </si>
  <si>
    <t>Some risk factors unaddressed; consequence of failure would be limited or localized (minor damage/injury, not loss of aircraft or crew).</t>
  </si>
  <si>
    <t>Multiple significant safety factors unaddressed; failure could plausibly cause serious injury or major system damage.</t>
  </si>
  <si>
    <t>Widespread unmitigated risk across the checklist; failure expected to threaten the aircraft or crew.</t>
  </si>
  <si>
    <t>Risk Scoring Notes:</t>
  </si>
  <si>
    <t>Go/No-Go?</t>
  </si>
  <si>
    <r>
      <t>The following Risk Matrix will auto populate with an "</t>
    </r>
    <r>
      <rPr>
        <b/>
        <sz val="14"/>
        <color theme="1"/>
        <rFont val="Aptos Narrow"/>
        <family val="2"/>
        <scheme val="minor"/>
      </rPr>
      <t>X</t>
    </r>
    <r>
      <rPr>
        <sz val="14"/>
        <color theme="1"/>
        <rFont val="Aptos Narrow"/>
        <family val="2"/>
        <scheme val="minor"/>
      </rPr>
      <t>" in the location determined by the framework. Please note that this risk matrix is a general guideline BEFORE MITIGATION. It is the team's obligation to weigh actual risk against the reward of using 3D printing in flight test activities.</t>
    </r>
  </si>
  <si>
    <r>
      <rPr>
        <b/>
        <u/>
        <sz val="14"/>
        <color theme="1"/>
        <rFont val="Aptos Narrow"/>
        <family val="2"/>
        <scheme val="minor"/>
      </rPr>
      <t>Instructions:</t>
    </r>
    <r>
      <rPr>
        <sz val="14"/>
        <color theme="1"/>
        <rFont val="Aptos Narrow"/>
        <family val="2"/>
        <scheme val="minor"/>
      </rPr>
      <t xml:space="preserve">
</t>
    </r>
    <r>
      <rPr>
        <b/>
        <sz val="14"/>
        <color theme="1"/>
        <rFont val="Aptos Narrow"/>
        <family val="2"/>
        <scheme val="minor"/>
      </rPr>
      <t xml:space="preserve">Step 1 — DfAM: </t>
    </r>
    <r>
      <rPr>
        <sz val="14"/>
        <color theme="1"/>
        <rFont val="Aptos Narrow"/>
        <family val="2"/>
        <scheme val="minor"/>
      </rPr>
      <t xml:space="preserve">This determines whether the part's geometry is well-suited to FDM at all and feeds into the overall Probability rating.
</t>
    </r>
    <r>
      <rPr>
        <b/>
        <sz val="14"/>
        <color theme="1"/>
        <rFont val="Aptos Narrow"/>
        <family val="2"/>
        <scheme val="minor"/>
      </rPr>
      <t>Step 2 — 3D Print Risk: Answer each criterion Fully Compliant, Partially Compliant, Non-Compliant, or N/A (if the feature doesn't apply to this part). Returns a Probability rating.
Step 3 — Human Interface Risk:</t>
    </r>
    <r>
      <rPr>
        <sz val="14"/>
        <color theme="1"/>
        <rFont val="Aptos Narrow"/>
        <family val="2"/>
        <scheme val="minor"/>
      </rPr>
      <t xml:space="preserve"> Answer each criterion Fully Compliant, Partially Compliant, Non-Compliant, or N/A (if the feature doesn't apply to this part). Returns a Probability rating.
</t>
    </r>
    <r>
      <rPr>
        <b/>
        <sz val="14"/>
        <color theme="1"/>
        <rFont val="Aptos Narrow"/>
        <family val="2"/>
        <scheme val="minor"/>
      </rPr>
      <t>Step 4 — Bypass Option:</t>
    </r>
    <r>
      <rPr>
        <sz val="14"/>
        <color theme="1"/>
        <rFont val="Aptos Narrow"/>
        <family val="2"/>
        <scheme val="minor"/>
      </rPr>
      <t xml:space="preserve"> If this part will never see a flight environment and meets all four listed criteria, check the box and skip directly to the Risk Matrix OUTPUT tab — Severity will be set to Negligible automatically.
</t>
    </r>
    <r>
      <rPr>
        <b/>
        <sz val="14"/>
        <color theme="1"/>
        <rFont val="Aptos Narrow"/>
        <family val="2"/>
        <scheme val="minor"/>
      </rPr>
      <t>Step 5 — Flight Environment Risk Part 1:</t>
    </r>
    <r>
      <rPr>
        <sz val="14"/>
        <color theme="1"/>
        <rFont val="Aptos Narrow"/>
        <family val="2"/>
        <scheme val="minor"/>
      </rPr>
      <t xml:space="preserve"> Answer each Go/No-Go criterion Pass or Fail. Any single Fail disqualifies the part regardless of scoring elsewhere in the framework — this section exists for failure modes considered unconditional.
</t>
    </r>
    <r>
      <rPr>
        <b/>
        <sz val="14"/>
        <color theme="1"/>
        <rFont val="Aptos Narrow"/>
        <family val="2"/>
        <scheme val="minor"/>
      </rPr>
      <t>Step 6 — Flight Environment Risk Part 2:</t>
    </r>
    <r>
      <rPr>
        <sz val="14"/>
        <color theme="1"/>
        <rFont val="Aptos Narrow"/>
        <family val="2"/>
        <scheme val="minor"/>
      </rPr>
      <t xml:space="preserve"> Complete this weighted questionnaire the same way as Step 2. This determines the part's Severity rating.
</t>
    </r>
    <r>
      <rPr>
        <b/>
        <sz val="14"/>
        <color theme="1"/>
        <rFont val="Aptos Narrow"/>
        <family val="2"/>
        <scheme val="minor"/>
      </rPr>
      <t xml:space="preserve">Step 7 — Risk Matrix OUTPUT: </t>
    </r>
    <r>
      <rPr>
        <sz val="14"/>
        <color theme="1"/>
        <rFont val="Aptos Narrow"/>
        <family val="2"/>
        <scheme val="minor"/>
      </rPr>
      <t xml:space="preserve">This tab auto-populates based on the highest Probability rating from Steps 1 and 2, and the Severity rating from Step 5. 
</t>
    </r>
  </si>
  <si>
    <t>3D-01</t>
  </si>
  <si>
    <t>3D-02</t>
  </si>
  <si>
    <t>3D-03</t>
  </si>
  <si>
    <t>3D-04</t>
  </si>
  <si>
    <t>3D-05</t>
  </si>
  <si>
    <t>3D-06</t>
  </si>
  <si>
    <t>3D-07</t>
  </si>
  <si>
    <t>3D-08</t>
  </si>
  <si>
    <t>3D-09</t>
  </si>
  <si>
    <t>3D-10</t>
  </si>
  <si>
    <t>3D-11</t>
  </si>
  <si>
    <t>3D-12</t>
  </si>
  <si>
    <t>3D-13</t>
  </si>
  <si>
    <t>3D-14</t>
  </si>
  <si>
    <t>3D-15</t>
  </si>
  <si>
    <t>3D-16</t>
  </si>
  <si>
    <t>3D-17</t>
  </si>
  <si>
    <t>3D-18</t>
  </si>
  <si>
    <t>3D-19</t>
  </si>
  <si>
    <t>3D-20</t>
  </si>
  <si>
    <t>3D-21</t>
  </si>
  <si>
    <t>HI-04</t>
  </si>
  <si>
    <t>HI-01</t>
  </si>
  <si>
    <t>HI-02</t>
  </si>
  <si>
    <t>HI-03</t>
  </si>
  <si>
    <t>FE1-01</t>
  </si>
  <si>
    <t>FE1-02</t>
  </si>
  <si>
    <t>FE1-03</t>
  </si>
  <si>
    <t>FE1-04</t>
  </si>
  <si>
    <t>FE1-05</t>
  </si>
  <si>
    <t>FE1-06</t>
  </si>
  <si>
    <t>FE2-01</t>
  </si>
  <si>
    <t>FE2-02</t>
  </si>
  <si>
    <t>FE2-03</t>
  </si>
  <si>
    <t>FE2-04</t>
  </si>
  <si>
    <t>FE2-05</t>
  </si>
  <si>
    <t>FE2-07</t>
  </si>
  <si>
    <t>FE2-08</t>
  </si>
  <si>
    <t>FE2-09</t>
  </si>
  <si>
    <t>FE2-10</t>
  </si>
  <si>
    <t>FE2-11</t>
  </si>
  <si>
    <t>FE2-12</t>
  </si>
  <si>
    <t>FE2-13</t>
  </si>
  <si>
    <t>FE2-14</t>
  </si>
  <si>
    <t>FE2-15</t>
  </si>
  <si>
    <t>FE2-16</t>
  </si>
  <si>
    <t>FE2-17</t>
  </si>
  <si>
    <t>FE2-18</t>
  </si>
  <si>
    <t>FE2-19</t>
  </si>
  <si>
    <t>FE2-20</t>
  </si>
  <si>
    <t>FE2-21</t>
  </si>
  <si>
    <t>FE2-22</t>
  </si>
  <si>
    <t>FE2-23</t>
  </si>
  <si>
    <t>FE2-24</t>
  </si>
  <si>
    <t>FE2-25</t>
  </si>
  <si>
    <t>FE2-26</t>
  </si>
  <si>
    <t>The score sums each answered criterion's weight × a compliance multiplier (Fully=1, Partially=2, Non-Compliant=3, N/A excluded) into a ratio of actual-to-possible points, which maps to Negligible/Marginal/Critical/Catastrophic — except that if egress obstruction, uncontained trajectory, missing retention, or unmitigated delamination are Non-Compliant, the result is automatically Catastrophic regardless of the ratio. Catastrophic can also be reached by point totals</t>
  </si>
  <si>
    <t>Represents a contributing factor such as fatigue, wear, or secondary stress concentration that degrades performance but is unlikely to cause a failure on its own.</t>
  </si>
  <si>
    <t>The layer lines are set in such a way that they do not experience force along the line.</t>
  </si>
  <si>
    <r>
      <t xml:space="preserve">High </t>
    </r>
    <r>
      <rPr>
        <i/>
        <sz val="11"/>
        <color theme="1"/>
        <rFont val="Arial"/>
        <family val="2"/>
      </rPr>
      <t>(Override)</t>
    </r>
  </si>
  <si>
    <r>
      <t xml:space="preserve">Probable or High </t>
    </r>
    <r>
      <rPr>
        <i/>
        <sz val="11"/>
        <color theme="1"/>
        <rFont val="Arial"/>
        <family val="2"/>
      </rPr>
      <t>(Override)</t>
    </r>
  </si>
  <si>
    <t>Override Critiera</t>
  </si>
  <si>
    <t>Any risk to the safety of people or assets from the part must be mitigated</t>
  </si>
  <si>
    <r>
      <rPr>
        <b/>
        <u/>
        <sz val="14"/>
        <color theme="1"/>
        <rFont val="Aptos Narrow"/>
        <family val="2"/>
        <scheme val="minor"/>
      </rPr>
      <t>Print, Assess, Fly — Additive Manufacturing FDM Risk Assessment Framework</t>
    </r>
    <r>
      <rPr>
        <b/>
        <sz val="14"/>
        <color theme="1"/>
        <rFont val="Aptos Narrow"/>
        <family val="2"/>
        <scheme val="minor"/>
      </rPr>
      <t xml:space="preserve">
</t>
    </r>
    <r>
      <rPr>
        <sz val="14"/>
        <color theme="1"/>
        <rFont val="Aptos Narrow"/>
        <family val="2"/>
        <scheme val="minor"/>
      </rPr>
      <t xml:space="preserve">Developed by Collin Duke, National Test Pilot School, October 2026
Presented at SFTE International Annual Symposium in Irving TX, October 2026
</t>
    </r>
    <r>
      <rPr>
        <b/>
        <sz val="14"/>
        <color theme="1"/>
        <rFont val="Aptos Narrow"/>
        <family val="2"/>
        <scheme val="minor"/>
      </rPr>
      <t xml:space="preserve">Version 1.0— October 2026
Copyright </t>
    </r>
    <r>
      <rPr>
        <b/>
        <sz val="14"/>
        <color theme="1"/>
        <rFont val="Aptos Narrow"/>
        <family val="2"/>
      </rPr>
      <t>©</t>
    </r>
    <r>
      <rPr>
        <b/>
        <sz val="9.8000000000000007"/>
        <color theme="1"/>
        <rFont val="Aptos Narrow"/>
        <family val="2"/>
      </rPr>
      <t xml:space="preserve"> </t>
    </r>
    <r>
      <rPr>
        <b/>
        <sz val="14"/>
        <color theme="1"/>
        <rFont val="Aptos Narrow"/>
        <family val="2"/>
        <scheme val="minor"/>
      </rPr>
      <t xml:space="preserve">2026 Collin Duke — collinj.duke@gmail.com
This work is licensed under CC BY-NC-SA 4.0. To view a copy of this license, visit </t>
    </r>
    <r>
      <rPr>
        <b/>
        <u/>
        <sz val="14"/>
        <rFont val="Aptos Narrow"/>
        <family val="2"/>
        <scheme val="minor"/>
      </rPr>
      <t>https://creativecommons.org/licenses/by-nc-sa/4.0/</t>
    </r>
    <r>
      <rPr>
        <b/>
        <sz val="14"/>
        <rFont val="Aptos Narrow"/>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</si>
</sst>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Aptos Narrow"/>
      <family val="2"/>
      <scheme val="minor"/>
    </font>
    <font>
      <b/>
      <sz val="16"/>
      <color theme="1"/>
      <name val="Aptos Narrow"/>
      <family val="2"/>
      <scheme val="minor"/>
    </font>
    <font>
      <i/>
      <sz val="11"/>
      <color theme="1"/>
      <name val="Aptos Narrow"/>
      <family val="2"/>
      <scheme val="minor"/>
    </font>
    <font>
      <u/>
      <sz val="11"/>
      <color theme="10"/>
      <name val="Aptos Narrow"/>
      <family val="2"/>
      <scheme val="minor"/>
    </font>
    <font>
      <b/>
      <u/>
      <sz val="14"/>
      <color theme="1"/>
      <name val="Aptos Narrow"/>
      <family val="2"/>
      <scheme val="minor"/>
    </font>
    <font>
      <sz val="14"/>
      <color theme="1"/>
      <name val="Aptos Narrow"/>
      <family val="2"/>
      <scheme val="minor"/>
    </font>
    <font>
      <b/>
      <sz val="14"/>
      <color theme="1"/>
      <name val="Aptos Narrow"/>
      <family val="2"/>
      <scheme val="minor"/>
    </font>
    <font>
      <b/>
      <sz val="36"/>
      <color theme="1"/>
      <name val="Aptos Narrow"/>
      <family val="2"/>
      <scheme val="minor"/>
    </font>
    <font>
      <sz val="14"/>
      <color theme="1"/>
      <name val="Arial"/>
      <family val="2"/>
    </font>
    <font>
      <i/>
      <sz val="14"/>
      <color theme="1"/>
      <name val="Aptos Narrow"/>
      <family val="2"/>
      <scheme val="minor"/>
    </font>
    <font>
      <b/>
      <sz val="14"/>
      <color theme="1"/>
      <name val="Arial"/>
      <family val="2"/>
    </font>
    <font>
      <sz val="14"/>
      <color theme="1"/>
      <name val="Aptos Narrow"/>
      <family val="2"/>
    </font>
    <font>
      <u/>
      <sz val="14"/>
      <color theme="10"/>
      <name val="Aptos Narrow"/>
      <family val="2"/>
      <scheme val="minor"/>
    </font>
    <font>
      <b/>
      <sz val="14"/>
      <color rgb="FFFF0000"/>
      <name val="Aptos Narrow"/>
      <family val="2"/>
      <scheme val="minor"/>
    </font>
    <font>
      <b/>
      <sz val="14"/>
      <color theme="1"/>
      <name val="Aptos"/>
      <family val="2"/>
    </font>
    <font>
      <sz val="14"/>
      <color theme="1"/>
      <name val="Aptos"/>
      <family val="2"/>
    </font>
    <font>
      <sz val="14"/>
      <color theme="1"/>
      <name val="Aptos"/>
      <family val="2"/>
    </font>
    <font>
      <b/>
      <sz val="11"/>
      <color theme="1"/>
      <name val="Arial"/>
      <family val="2"/>
    </font>
    <font>
      <sz val="11"/>
      <color theme="1"/>
      <name val="Arial"/>
      <family val="2"/>
    </font>
    <font>
      <i/>
      <sz val="11"/>
      <color theme="1"/>
      <name val="Arial"/>
      <family val="2"/>
    </font>
    <font>
      <b/>
      <sz val="18"/>
      <color theme="1"/>
      <name val="Aptos Narrow"/>
      <family val="2"/>
      <scheme val="minor"/>
    </font>
    <font>
      <b/>
      <u/>
      <sz val="18"/>
      <color theme="1"/>
      <name val="Aptos Narrow"/>
      <family val="2"/>
      <scheme val="minor"/>
    </font>
    <font>
      <u/>
      <sz val="14"/>
      <color theme="1"/>
      <name val="Aptos Narrow"/>
      <family val="2"/>
      <scheme val="minor"/>
    </font>
    <font>
      <b/>
      <sz val="16"/>
      <color rgb="FFFF0000"/>
      <name val="Aptos Narrow"/>
      <family val="2"/>
      <scheme val="minor"/>
    </font>
    <font>
      <sz val="8"/>
      <name val="Aptos Narrow"/>
      <family val="2"/>
      <scheme val="minor"/>
    </font>
    <font>
      <b/>
      <sz val="14"/>
      <name val="Aptos Narrow"/>
      <family val="2"/>
      <scheme val="minor"/>
    </font>
    <font>
      <b/>
      <u/>
      <sz val="14"/>
      <name val="Aptos Narrow"/>
      <family val="2"/>
      <scheme val="minor"/>
    </font>
    <font>
      <b/>
      <sz val="11"/>
      <color theme="1"/>
      <name val="Aptos Narrow"/>
      <family val="2"/>
      <scheme val="minor"/>
    </font>
    <font>
      <b/>
      <sz val="14"/>
      <color theme="1"/>
      <name val="Aptos Narrow"/>
      <family val="2"/>
    </font>
    <font>
      <b/>
      <sz val="9.8000000000000007"/>
      <color theme="1"/>
      <name val="Aptos Narrow"/>
      <family val="2"/>
    </font>
  </fonts>
  <fills count="12">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00B050"/>
        <bgColor indexed="64"/>
      </patternFill>
    </fill>
    <fill>
      <patternFill patternType="solid">
        <fgColor theme="0" tint="-0.249977111117893"/>
        <bgColor indexed="64"/>
      </patternFill>
    </fill>
    <fill>
      <patternFill patternType="solid">
        <fgColor rgb="FFFF0000"/>
        <bgColor indexed="64"/>
      </patternFill>
    </fill>
    <fill>
      <patternFill patternType="solid">
        <fgColor theme="9" tint="0.79998168889431442"/>
        <bgColor indexed="64"/>
      </patternFill>
    </fill>
    <fill>
      <patternFill patternType="solid">
        <fgColor theme="3" tint="0.89999084444715716"/>
        <bgColor indexed="64"/>
      </patternFill>
    </fill>
    <fill>
      <patternFill patternType="solid">
        <fgColor theme="0" tint="-4.9989318521683403E-2"/>
        <bgColor indexed="64"/>
      </patternFill>
    </fill>
    <fill>
      <patternFill patternType="solid">
        <fgColor rgb="FF94DCF8"/>
        <bgColor indexed="64"/>
      </patternFill>
    </fill>
    <fill>
      <patternFill patternType="solid">
        <fgColor theme="6" tint="0.79998168889431442"/>
        <bgColor indexed="64"/>
      </patternFill>
    </fill>
  </fills>
  <borders count="49">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medium">
        <color indexed="64"/>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s>
  <cellStyleXfs count="2">
    <xf numFmtId="0" fontId="0" fillId="0" borderId="0"/>
    <xf numFmtId="0" fontId="3" fillId="0" borderId="0" applyNumberFormat="0" applyFill="0" applyBorder="0" applyAlignment="0" applyProtection="0"/>
  </cellStyleXfs>
  <cellXfs count="287">
    <xf numFmtId="0" fontId="0" fillId="0" borderId="0" xfId="0"/>
    <xf numFmtId="0" fontId="0" fillId="0" borderId="0" xfId="0" applyAlignment="1">
      <alignment wrapText="1"/>
    </xf>
    <xf numFmtId="0" fontId="0" fillId="9" borderId="0" xfId="0" applyFill="1"/>
    <xf numFmtId="0" fontId="5" fillId="9" borderId="0" xfId="0" applyFont="1" applyFill="1" applyAlignment="1">
      <alignment horizontal="center" vertical="center" wrapText="1"/>
    </xf>
    <xf numFmtId="0" fontId="5" fillId="0" borderId="0" xfId="0" applyFont="1"/>
    <xf numFmtId="0" fontId="6" fillId="10" borderId="11"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5" fillId="9" borderId="0" xfId="0" applyFont="1" applyFill="1" applyAlignment="1">
      <alignment vertical="center" wrapText="1"/>
    </xf>
    <xf numFmtId="0" fontId="6" fillId="0" borderId="14" xfId="0" applyFont="1" applyBorder="1" applyAlignment="1">
      <alignment horizontal="center" vertical="center" wrapText="1"/>
    </xf>
    <xf numFmtId="0" fontId="5" fillId="3"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0" borderId="8" xfId="0" applyFont="1" applyBorder="1" applyAlignment="1">
      <alignment horizontal="center" vertical="center" wrapText="1"/>
    </xf>
    <xf numFmtId="0" fontId="6" fillId="0" borderId="9" xfId="0" applyFont="1" applyBorder="1" applyAlignment="1">
      <alignment horizontal="center" vertical="center" wrapText="1"/>
    </xf>
    <xf numFmtId="0" fontId="5" fillId="9" borderId="10" xfId="0" applyFont="1" applyFill="1" applyBorder="1" applyAlignment="1">
      <alignment vertical="center" wrapText="1"/>
    </xf>
    <xf numFmtId="49" fontId="5" fillId="0" borderId="13" xfId="0" applyNumberFormat="1" applyFont="1" applyBorder="1" applyAlignment="1">
      <alignment horizontal="center" vertical="center" wrapText="1"/>
    </xf>
    <xf numFmtId="0" fontId="5" fillId="9" borderId="12" xfId="0" applyFont="1" applyFill="1" applyBorder="1" applyAlignment="1">
      <alignment horizontal="center" vertical="center" wrapText="1"/>
    </xf>
    <xf numFmtId="0" fontId="5" fillId="9" borderId="10" xfId="0" applyFont="1" applyFill="1" applyBorder="1" applyAlignment="1">
      <alignment horizontal="center" vertical="center" wrapText="1"/>
    </xf>
    <xf numFmtId="0" fontId="5" fillId="9" borderId="7"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5" fillId="3" borderId="7" xfId="0" applyFont="1" applyFill="1" applyBorder="1" applyAlignment="1">
      <alignment horizontal="center" vertical="center" wrapText="1"/>
    </xf>
    <xf numFmtId="2" fontId="5" fillId="0" borderId="13" xfId="0" applyNumberFormat="1" applyFont="1" applyBorder="1" applyAlignment="1">
      <alignment horizontal="center" vertical="center" wrapText="1"/>
    </xf>
    <xf numFmtId="0" fontId="5" fillId="9" borderId="15" xfId="0" applyFont="1" applyFill="1" applyBorder="1" applyAlignment="1">
      <alignment horizontal="center" vertical="center" wrapText="1"/>
    </xf>
    <xf numFmtId="0" fontId="5" fillId="9" borderId="0" xfId="0" applyFont="1" applyFill="1"/>
    <xf numFmtId="0" fontId="5" fillId="9" borderId="0" xfId="0" applyFont="1" applyFill="1" applyAlignment="1">
      <alignment wrapText="1"/>
    </xf>
    <xf numFmtId="0" fontId="5" fillId="9" borderId="0" xfId="0" applyFont="1" applyFill="1" applyAlignment="1">
      <alignment vertical="center"/>
    </xf>
    <xf numFmtId="0" fontId="5" fillId="9" borderId="0" xfId="0" applyFont="1" applyFill="1" applyAlignment="1">
      <alignment horizontal="center" vertical="center"/>
    </xf>
    <xf numFmtId="0" fontId="10" fillId="9" borderId="0" xfId="0" applyFont="1" applyFill="1" applyAlignment="1">
      <alignment vertical="center"/>
    </xf>
    <xf numFmtId="0" fontId="6" fillId="9" borderId="0" xfId="0" applyFont="1" applyFill="1" applyAlignment="1">
      <alignment horizontal="left" indent="1"/>
    </xf>
    <xf numFmtId="0" fontId="5" fillId="9" borderId="0" xfId="0" applyFont="1" applyFill="1" applyAlignment="1">
      <alignment horizontal="left" vertical="center"/>
    </xf>
    <xf numFmtId="0" fontId="5" fillId="9" borderId="0" xfId="0" applyFont="1" applyFill="1" applyAlignment="1">
      <alignment horizontal="left" vertical="center" indent="1"/>
    </xf>
    <xf numFmtId="0" fontId="6" fillId="9" borderId="0" xfId="0" applyFont="1" applyFill="1" applyAlignment="1">
      <alignment horizontal="center" vertical="center"/>
    </xf>
    <xf numFmtId="0" fontId="11" fillId="9" borderId="0" xfId="0" applyFont="1" applyFill="1" applyAlignment="1">
      <alignment horizontal="center" vertical="center"/>
    </xf>
    <xf numFmtId="0" fontId="5" fillId="9" borderId="0" xfId="0" applyFont="1" applyFill="1" applyAlignment="1">
      <alignment horizontal="left" vertical="center" wrapText="1" indent="1"/>
    </xf>
    <xf numFmtId="0" fontId="8" fillId="9" borderId="0" xfId="0" applyFont="1" applyFill="1" applyAlignment="1">
      <alignment horizontal="left" vertical="center"/>
    </xf>
    <xf numFmtId="0" fontId="6" fillId="10" borderId="12" xfId="0" applyFont="1" applyFill="1" applyBorder="1" applyAlignment="1">
      <alignment horizontal="center" vertical="center"/>
    </xf>
    <xf numFmtId="0" fontId="6" fillId="10" borderId="13" xfId="0" applyFont="1" applyFill="1" applyBorder="1" applyAlignment="1">
      <alignment horizontal="center" vertical="center"/>
    </xf>
    <xf numFmtId="0" fontId="5" fillId="0" borderId="7" xfId="0" applyFont="1" applyBorder="1" applyAlignment="1">
      <alignment horizontal="center" vertical="center"/>
    </xf>
    <xf numFmtId="0" fontId="6" fillId="7" borderId="13" xfId="0" applyFont="1" applyFill="1" applyBorder="1" applyAlignment="1">
      <alignment horizontal="center" vertical="center"/>
    </xf>
    <xf numFmtId="0" fontId="6" fillId="0" borderId="15" xfId="0" applyFont="1" applyBorder="1" applyAlignment="1">
      <alignment horizontal="center" vertical="center"/>
    </xf>
    <xf numFmtId="0" fontId="6" fillId="9" borderId="0" xfId="0" applyFont="1" applyFill="1"/>
    <xf numFmtId="0" fontId="12" fillId="9" borderId="0" xfId="1" applyFont="1" applyFill="1" applyAlignment="1"/>
    <xf numFmtId="0" fontId="6" fillId="10" borderId="8" xfId="0" applyFont="1" applyFill="1" applyBorder="1" applyAlignment="1">
      <alignment horizontal="center" vertical="center"/>
    </xf>
    <xf numFmtId="0" fontId="6" fillId="10" borderId="11" xfId="0" applyFont="1" applyFill="1" applyBorder="1" applyAlignment="1">
      <alignment horizontal="center" vertical="center"/>
    </xf>
    <xf numFmtId="0" fontId="6" fillId="10" borderId="10" xfId="0" applyFont="1" applyFill="1" applyBorder="1" applyAlignment="1">
      <alignment horizontal="center" vertical="center"/>
    </xf>
    <xf numFmtId="0" fontId="6" fillId="9" borderId="0" xfId="0" applyFont="1" applyFill="1" applyAlignment="1">
      <alignment horizontal="right" vertical="center" wrapText="1"/>
    </xf>
    <xf numFmtId="0" fontId="6" fillId="3" borderId="12" xfId="0" applyFont="1" applyFill="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left" vertical="center" wrapText="1"/>
    </xf>
    <xf numFmtId="0" fontId="6" fillId="0" borderId="16" xfId="0" applyFont="1" applyBorder="1" applyAlignment="1">
      <alignment horizontal="center" vertical="center"/>
    </xf>
    <xf numFmtId="0" fontId="5" fillId="7" borderId="16" xfId="0" applyFont="1" applyFill="1" applyBorder="1" applyAlignment="1">
      <alignment horizontal="center" vertical="center"/>
    </xf>
    <xf numFmtId="0" fontId="5" fillId="0" borderId="19" xfId="0" applyFont="1" applyBorder="1" applyAlignment="1">
      <alignment horizontal="center" vertical="center"/>
    </xf>
    <xf numFmtId="0" fontId="5" fillId="0" borderId="17" xfId="0" applyFont="1" applyBorder="1" applyAlignment="1">
      <alignment horizontal="center" vertical="center"/>
    </xf>
    <xf numFmtId="0" fontId="5" fillId="0" borderId="23" xfId="0" applyFont="1" applyBorder="1" applyAlignment="1">
      <alignment horizontal="left" vertical="center" wrapText="1"/>
    </xf>
    <xf numFmtId="0" fontId="6" fillId="0" borderId="17" xfId="0" applyFont="1" applyBorder="1" applyAlignment="1">
      <alignment horizontal="center" vertical="center"/>
    </xf>
    <xf numFmtId="0" fontId="5" fillId="7" borderId="17" xfId="0" applyFont="1" applyFill="1" applyBorder="1" applyAlignment="1">
      <alignment horizontal="center" vertical="center"/>
    </xf>
    <xf numFmtId="0" fontId="5" fillId="0" borderId="20"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left" vertical="center" wrapText="1"/>
    </xf>
    <xf numFmtId="0" fontId="6" fillId="0" borderId="25" xfId="0" applyFont="1" applyBorder="1" applyAlignment="1">
      <alignment horizontal="center" vertical="center"/>
    </xf>
    <xf numFmtId="0" fontId="5" fillId="0" borderId="18" xfId="0" applyFont="1" applyBorder="1" applyAlignment="1">
      <alignment horizontal="center" vertical="center"/>
    </xf>
    <xf numFmtId="0" fontId="5" fillId="0" borderId="24" xfId="0" applyFont="1" applyBorder="1" applyAlignment="1">
      <alignment horizontal="left" vertical="center" wrapText="1"/>
    </xf>
    <xf numFmtId="0" fontId="6" fillId="0" borderId="18" xfId="0" applyFont="1" applyBorder="1" applyAlignment="1">
      <alignment horizontal="center" vertical="center"/>
    </xf>
    <xf numFmtId="0" fontId="5" fillId="7" borderId="18" xfId="0" applyFont="1" applyFill="1" applyBorder="1" applyAlignment="1">
      <alignment horizontal="center" vertical="center"/>
    </xf>
    <xf numFmtId="0" fontId="5" fillId="0" borderId="21" xfId="0" applyFont="1" applyBorder="1" applyAlignment="1">
      <alignment horizontal="center" vertical="center"/>
    </xf>
    <xf numFmtId="0" fontId="6" fillId="8" borderId="12" xfId="0" applyFont="1" applyFill="1" applyBorder="1" applyAlignment="1">
      <alignment horizontal="right" vertical="center"/>
    </xf>
    <xf numFmtId="0" fontId="14" fillId="9" borderId="0" xfId="0" applyFont="1" applyFill="1" applyAlignment="1">
      <alignment vertical="center" wrapText="1"/>
    </xf>
    <xf numFmtId="0" fontId="15" fillId="3" borderId="3" xfId="0" applyFont="1" applyFill="1" applyBorder="1" applyAlignment="1">
      <alignment horizontal="center" vertical="center" wrapText="1"/>
    </xf>
    <xf numFmtId="0" fontId="15" fillId="3" borderId="5"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6" fillId="3" borderId="10" xfId="0" applyFont="1" applyFill="1" applyBorder="1" applyAlignment="1">
      <alignment horizontal="right" vertical="center" wrapText="1"/>
    </xf>
    <xf numFmtId="0" fontId="14" fillId="6"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4" borderId="4" xfId="0" applyFont="1" applyFill="1" applyBorder="1" applyAlignment="1">
      <alignment horizontal="center" vertical="center" wrapText="1"/>
    </xf>
    <xf numFmtId="0" fontId="16" fillId="3" borderId="2" xfId="0" applyFont="1" applyFill="1" applyBorder="1" applyAlignment="1">
      <alignment horizontal="right" vertical="center" wrapText="1"/>
    </xf>
    <xf numFmtId="0" fontId="16" fillId="3" borderId="4" xfId="0" applyFont="1" applyFill="1" applyBorder="1" applyAlignment="1">
      <alignment horizontal="right" vertical="center" wrapText="1"/>
    </xf>
    <xf numFmtId="0" fontId="6" fillId="10" borderId="15" xfId="0" applyFont="1" applyFill="1" applyBorder="1" applyAlignment="1">
      <alignment horizontal="center" vertical="center"/>
    </xf>
    <xf numFmtId="0" fontId="5" fillId="3" borderId="33" xfId="0" applyFont="1" applyFill="1" applyBorder="1" applyAlignment="1">
      <alignment horizontal="center" vertical="center"/>
    </xf>
    <xf numFmtId="0" fontId="5" fillId="3" borderId="35" xfId="0" applyFont="1" applyFill="1" applyBorder="1" applyAlignment="1">
      <alignment horizontal="center" vertical="center"/>
    </xf>
    <xf numFmtId="0" fontId="5" fillId="0" borderId="31" xfId="0" applyFont="1" applyBorder="1" applyAlignment="1">
      <alignment horizontal="center" vertical="center"/>
    </xf>
    <xf numFmtId="0" fontId="4" fillId="9" borderId="0" xfId="0" applyFont="1" applyFill="1" applyAlignment="1">
      <alignment vertical="center"/>
    </xf>
    <xf numFmtId="0" fontId="14" fillId="6" borderId="12" xfId="0" applyFont="1" applyFill="1" applyBorder="1" applyAlignment="1">
      <alignment horizontal="center" vertical="center" wrapText="1"/>
    </xf>
    <xf numFmtId="0" fontId="14" fillId="6" borderId="15" xfId="0" applyFont="1" applyFill="1" applyBorder="1" applyAlignment="1">
      <alignment horizontal="center" vertical="center" wrapText="1"/>
    </xf>
    <xf numFmtId="0" fontId="14" fillId="2" borderId="15" xfId="0" applyFont="1" applyFill="1" applyBorder="1" applyAlignment="1">
      <alignment horizontal="center" vertical="center" wrapText="1"/>
    </xf>
    <xf numFmtId="0" fontId="14" fillId="4" borderId="1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2" fillId="9" borderId="0" xfId="0" applyFont="1" applyFill="1" applyAlignment="1">
      <alignment wrapText="1"/>
    </xf>
    <xf numFmtId="0" fontId="0" fillId="9" borderId="0" xfId="0" applyFill="1" applyAlignment="1">
      <alignment wrapText="1"/>
    </xf>
    <xf numFmtId="0" fontId="5" fillId="9" borderId="0" xfId="0" applyFont="1" applyFill="1" applyAlignment="1">
      <alignment horizontal="left" vertical="center" wrapText="1"/>
    </xf>
    <xf numFmtId="0" fontId="6" fillId="9" borderId="0" xfId="0" applyFont="1" applyFill="1" applyAlignment="1">
      <alignment horizontal="left" vertical="center"/>
    </xf>
    <xf numFmtId="0" fontId="6" fillId="9" borderId="0" xfId="0" applyFont="1" applyFill="1" applyAlignment="1">
      <alignment vertical="center"/>
    </xf>
    <xf numFmtId="0" fontId="1" fillId="9" borderId="0" xfId="0" applyFont="1" applyFill="1" applyAlignment="1">
      <alignment horizontal="right"/>
    </xf>
    <xf numFmtId="0" fontId="5" fillId="9" borderId="9" xfId="0" applyFont="1" applyFill="1" applyBorder="1" applyAlignment="1">
      <alignment vertical="center"/>
    </xf>
    <xf numFmtId="0" fontId="1" fillId="9" borderId="0" xfId="0" applyFont="1" applyFill="1" applyAlignment="1">
      <alignment horizontal="right" vertical="center" wrapText="1"/>
    </xf>
    <xf numFmtId="0" fontId="20" fillId="9" borderId="0" xfId="0" applyFont="1" applyFill="1" applyAlignment="1">
      <alignment wrapText="1"/>
    </xf>
    <xf numFmtId="0" fontId="6" fillId="9" borderId="0" xfId="0" applyFont="1" applyFill="1" applyAlignment="1">
      <alignment vertical="center" wrapText="1"/>
    </xf>
    <xf numFmtId="0" fontId="10" fillId="9" borderId="0" xfId="0" applyFont="1" applyFill="1" applyAlignment="1">
      <alignment horizontal="left" vertical="center" wrapText="1" indent="1"/>
    </xf>
    <xf numFmtId="0" fontId="17" fillId="10" borderId="13" xfId="0" applyFont="1" applyFill="1" applyBorder="1" applyAlignment="1">
      <alignment horizontal="center" vertical="center" wrapText="1"/>
    </xf>
    <xf numFmtId="0" fontId="17" fillId="10" borderId="12" xfId="0" applyFont="1" applyFill="1" applyBorder="1" applyAlignment="1">
      <alignment horizontal="center" vertical="center" wrapText="1"/>
    </xf>
    <xf numFmtId="0" fontId="4" fillId="9" borderId="0" xfId="0" applyFont="1" applyFill="1" applyAlignment="1">
      <alignment horizontal="left" vertical="center"/>
    </xf>
    <xf numFmtId="0" fontId="6" fillId="11" borderId="12" xfId="0" applyFont="1" applyFill="1" applyBorder="1" applyAlignment="1">
      <alignment horizontal="center" vertical="center"/>
    </xf>
    <xf numFmtId="0" fontId="6" fillId="11" borderId="6" xfId="0" applyFont="1" applyFill="1" applyBorder="1" applyAlignment="1">
      <alignment horizontal="center" vertical="center"/>
    </xf>
    <xf numFmtId="0" fontId="6" fillId="11" borderId="7" xfId="0" applyFont="1" applyFill="1" applyBorder="1" applyAlignment="1">
      <alignment horizontal="center" vertical="center"/>
    </xf>
    <xf numFmtId="0" fontId="6" fillId="10" borderId="12" xfId="0" applyFont="1" applyFill="1" applyBorder="1" applyAlignment="1">
      <alignment horizontal="left" vertical="center"/>
    </xf>
    <xf numFmtId="0" fontId="6" fillId="10" borderId="7" xfId="0" applyFont="1" applyFill="1" applyBorder="1" applyAlignment="1">
      <alignment horizontal="center" vertical="center"/>
    </xf>
    <xf numFmtId="0" fontId="5" fillId="3" borderId="5" xfId="0" applyFont="1" applyFill="1" applyBorder="1" applyAlignment="1">
      <alignment horizontal="left" vertical="center"/>
    </xf>
    <xf numFmtId="0" fontId="5" fillId="3" borderId="4" xfId="0" applyFont="1" applyFill="1" applyBorder="1" applyAlignment="1">
      <alignment horizontal="left" vertical="center"/>
    </xf>
    <xf numFmtId="0" fontId="17" fillId="9" borderId="0" xfId="0" applyFont="1" applyFill="1" applyAlignment="1">
      <alignment horizontal="center" vertical="center" wrapText="1"/>
    </xf>
    <xf numFmtId="0" fontId="4" fillId="9" borderId="0" xfId="0" applyFont="1" applyFill="1" applyAlignment="1">
      <alignment vertical="top" wrapText="1"/>
    </xf>
    <xf numFmtId="0" fontId="6" fillId="9" borderId="0" xfId="0" applyFont="1" applyFill="1" applyAlignment="1">
      <alignment horizontal="center" vertical="center" wrapText="1"/>
    </xf>
    <xf numFmtId="0" fontId="5" fillId="3" borderId="32" xfId="0" applyFont="1" applyFill="1" applyBorder="1" applyAlignment="1">
      <alignment horizontal="left" vertical="center" wrapText="1"/>
    </xf>
    <xf numFmtId="0" fontId="5" fillId="3" borderId="34" xfId="0" applyFont="1" applyFill="1" applyBorder="1" applyAlignment="1">
      <alignment horizontal="left" vertical="center" wrapText="1"/>
    </xf>
    <xf numFmtId="0" fontId="6" fillId="3" borderId="36" xfId="0" applyFont="1" applyFill="1" applyBorder="1" applyAlignment="1">
      <alignment horizontal="left" vertical="center" wrapText="1"/>
    </xf>
    <xf numFmtId="0" fontId="6" fillId="10" borderId="14" xfId="0" applyFont="1" applyFill="1" applyBorder="1" applyAlignment="1">
      <alignment horizontal="center" vertical="center"/>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25" xfId="0" applyFont="1" applyBorder="1" applyAlignment="1">
      <alignment horizontal="center" vertical="center" wrapText="1"/>
    </xf>
    <xf numFmtId="0" fontId="5" fillId="0" borderId="19" xfId="0" applyFont="1" applyBorder="1" applyAlignment="1">
      <alignment horizontal="left" vertical="center" wrapText="1"/>
    </xf>
    <xf numFmtId="0" fontId="5" fillId="0" borderId="20" xfId="0" applyFont="1" applyBorder="1" applyAlignment="1">
      <alignment horizontal="left" vertical="center" wrapText="1"/>
    </xf>
    <xf numFmtId="0" fontId="5" fillId="0" borderId="20" xfId="0" applyFont="1" applyBorder="1" applyAlignment="1">
      <alignment horizontal="left" wrapText="1"/>
    </xf>
    <xf numFmtId="0" fontId="5" fillId="0" borderId="21" xfId="0" applyFont="1" applyBorder="1" applyAlignment="1">
      <alignment horizontal="left" wrapText="1"/>
    </xf>
    <xf numFmtId="0" fontId="5" fillId="0" borderId="38" xfId="0" applyFont="1" applyBorder="1" applyAlignment="1">
      <alignment horizontal="center" vertical="center"/>
    </xf>
    <xf numFmtId="0" fontId="5" fillId="0" borderId="39" xfId="0" applyFont="1" applyBorder="1" applyAlignment="1">
      <alignment horizontal="left" vertical="center" wrapText="1"/>
    </xf>
    <xf numFmtId="0" fontId="6" fillId="0" borderId="38" xfId="0" applyFont="1" applyBorder="1" applyAlignment="1">
      <alignment horizontal="center" vertical="center"/>
    </xf>
    <xf numFmtId="0" fontId="5" fillId="7" borderId="38" xfId="0" applyFont="1" applyFill="1" applyBorder="1" applyAlignment="1">
      <alignment horizontal="center" vertical="center"/>
    </xf>
    <xf numFmtId="0" fontId="5" fillId="0" borderId="30" xfId="0" applyFont="1" applyBorder="1" applyAlignment="1">
      <alignment horizontal="center" vertical="center"/>
    </xf>
    <xf numFmtId="0" fontId="5" fillId="0" borderId="30" xfId="0" applyFont="1" applyBorder="1" applyAlignment="1">
      <alignment horizontal="left" vertical="center" wrapText="1"/>
    </xf>
    <xf numFmtId="0" fontId="5" fillId="0" borderId="21" xfId="0" applyFont="1" applyBorder="1" applyAlignment="1">
      <alignment horizontal="left" vertical="center" wrapText="1"/>
    </xf>
    <xf numFmtId="0" fontId="6" fillId="3" borderId="16"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6" fillId="3" borderId="24" xfId="0" applyFont="1" applyFill="1" applyBorder="1" applyAlignment="1">
      <alignment horizontal="center" vertical="center"/>
    </xf>
    <xf numFmtId="0" fontId="5" fillId="3" borderId="16" xfId="0" applyFont="1" applyFill="1" applyBorder="1" applyAlignment="1">
      <alignment vertical="center" wrapText="1"/>
    </xf>
    <xf numFmtId="0" fontId="5" fillId="3" borderId="17" xfId="0" applyFont="1" applyFill="1" applyBorder="1" applyAlignment="1">
      <alignment vertical="center" wrapText="1"/>
    </xf>
    <xf numFmtId="0" fontId="5" fillId="3" borderId="18" xfId="0" applyFont="1" applyFill="1" applyBorder="1" applyAlignment="1">
      <alignment vertic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38" xfId="0" applyFont="1" applyFill="1" applyBorder="1" applyAlignment="1">
      <alignment horizontal="center" vertical="center"/>
    </xf>
    <xf numFmtId="0" fontId="5" fillId="3" borderId="38" xfId="0" applyFont="1" applyFill="1" applyBorder="1" applyAlignment="1">
      <alignment horizontal="left" vertical="center" wrapText="1"/>
    </xf>
    <xf numFmtId="0" fontId="6" fillId="0" borderId="38" xfId="0" applyFont="1" applyBorder="1" applyAlignment="1">
      <alignment horizontal="center" vertical="center" wrapText="1"/>
    </xf>
    <xf numFmtId="0" fontId="6" fillId="10" borderId="9"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5" fillId="7" borderId="24" xfId="0" applyFont="1" applyFill="1" applyBorder="1" applyAlignment="1">
      <alignment horizontal="center" vertical="center"/>
    </xf>
    <xf numFmtId="0" fontId="5" fillId="7" borderId="39" xfId="0" applyFont="1" applyFill="1" applyBorder="1" applyAlignment="1">
      <alignment horizontal="center" vertical="center"/>
    </xf>
    <xf numFmtId="0" fontId="5" fillId="7" borderId="26" xfId="0" applyFont="1" applyFill="1" applyBorder="1" applyAlignment="1">
      <alignment horizontal="center" vertical="center"/>
    </xf>
    <xf numFmtId="0" fontId="5" fillId="3" borderId="39" xfId="0" applyFont="1" applyFill="1" applyBorder="1" applyAlignment="1">
      <alignment horizontal="center" vertical="center"/>
    </xf>
    <xf numFmtId="0" fontId="5" fillId="3" borderId="23" xfId="0" applyFont="1" applyFill="1" applyBorder="1" applyAlignment="1">
      <alignment horizontal="center" vertical="center"/>
    </xf>
    <xf numFmtId="0" fontId="5" fillId="3" borderId="24" xfId="0" applyFont="1" applyFill="1" applyBorder="1" applyAlignment="1">
      <alignment horizontal="center" vertical="center"/>
    </xf>
    <xf numFmtId="0" fontId="5" fillId="3" borderId="1"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5" fillId="3" borderId="3" xfId="0" applyFont="1" applyFill="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6" fillId="0" borderId="16" xfId="0" applyFont="1" applyBorder="1" applyAlignment="1" applyProtection="1">
      <alignment horizontal="center" vertical="center"/>
      <protection locked="0"/>
    </xf>
    <xf numFmtId="0" fontId="6" fillId="0" borderId="17"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0" fontId="6" fillId="0" borderId="38"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5" fillId="9" borderId="0" xfId="0" applyFont="1" applyFill="1" applyAlignment="1" applyProtection="1">
      <alignment horizontal="center" vertical="center"/>
      <protection locked="0"/>
      <extLst>
        <ext xmlns:xfpb="http://schemas.microsoft.com/office/spreadsheetml/2022/featurepropertybag" uri="{C7286773-470A-42A8-94C5-96B5CB345126}">
          <xfpb:xfComplement i="0"/>
        </ext>
      </extLst>
    </xf>
    <xf numFmtId="0" fontId="6" fillId="3" borderId="30" xfId="0" applyFont="1" applyFill="1" applyBorder="1" applyAlignment="1" applyProtection="1">
      <alignment horizontal="center" vertical="center"/>
      <protection locked="0"/>
    </xf>
    <xf numFmtId="0" fontId="6" fillId="3" borderId="19" xfId="0" applyFont="1" applyFill="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23"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39" xfId="0" applyFont="1" applyBorder="1" applyAlignment="1" applyProtection="1">
      <alignment horizontal="center" vertical="center"/>
      <protection locked="0"/>
    </xf>
    <xf numFmtId="0" fontId="18" fillId="3" borderId="13" xfId="0" applyFont="1" applyFill="1" applyBorder="1" applyAlignment="1">
      <alignment horizontal="center" vertical="center" wrapText="1"/>
    </xf>
    <xf numFmtId="0" fontId="18" fillId="0" borderId="12"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7" xfId="0" applyFont="1" applyBorder="1" applyAlignment="1">
      <alignment horizontal="center" vertical="center" wrapText="1"/>
    </xf>
    <xf numFmtId="0" fontId="5" fillId="9" borderId="0" xfId="0" applyFont="1" applyFill="1" applyAlignment="1">
      <alignment horizontal="left" vertical="top" wrapText="1"/>
    </xf>
    <xf numFmtId="0" fontId="6" fillId="9" borderId="0" xfId="0" applyFont="1" applyFill="1" applyAlignment="1">
      <alignment horizontal="center" vertical="center" wrapText="1"/>
    </xf>
    <xf numFmtId="0" fontId="5" fillId="9" borderId="0" xfId="0" applyFont="1" applyFill="1" applyAlignment="1">
      <alignment horizontal="left" vertical="center" wrapText="1"/>
    </xf>
    <xf numFmtId="0" fontId="4" fillId="9" borderId="0" xfId="0" applyFont="1" applyFill="1" applyAlignment="1">
      <alignment horizontal="left" vertical="center" wrapText="1"/>
    </xf>
    <xf numFmtId="0" fontId="6" fillId="9" borderId="0" xfId="0" applyFont="1" applyFill="1" applyAlignment="1">
      <alignment horizontal="center" wrapText="1"/>
    </xf>
    <xf numFmtId="0" fontId="20" fillId="9" borderId="0" xfId="0" applyFont="1" applyFill="1" applyAlignment="1">
      <alignment horizontal="left"/>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3" borderId="10"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6" fillId="10" borderId="8"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1" fillId="10" borderId="9" xfId="0" applyFont="1" applyFill="1" applyBorder="1" applyAlignment="1">
      <alignment horizontal="left" vertical="center" wrapText="1"/>
    </xf>
    <xf numFmtId="0" fontId="1" fillId="10" borderId="10" xfId="0" applyFont="1" applyFill="1" applyBorder="1" applyAlignment="1">
      <alignment horizontal="left" vertical="center" wrapText="1"/>
    </xf>
    <xf numFmtId="0" fontId="6" fillId="10" borderId="10" xfId="0" applyFont="1" applyFill="1" applyBorder="1" applyAlignment="1">
      <alignment horizontal="center" vertical="center" wrapText="1"/>
    </xf>
    <xf numFmtId="0" fontId="6" fillId="10" borderId="4" xfId="0" applyFont="1" applyFill="1" applyBorder="1" applyAlignment="1">
      <alignment horizontal="center" vertical="center" wrapText="1"/>
    </xf>
    <xf numFmtId="0" fontId="6" fillId="10" borderId="11" xfId="0" applyFont="1" applyFill="1" applyBorder="1" applyAlignment="1">
      <alignment horizontal="center" vertical="center" wrapText="1"/>
    </xf>
    <xf numFmtId="0" fontId="6" fillId="10" borderId="7" xfId="0" applyFont="1" applyFill="1" applyBorder="1" applyAlignment="1">
      <alignment horizontal="center" vertical="center" wrapText="1"/>
    </xf>
    <xf numFmtId="0" fontId="5" fillId="10" borderId="5"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5"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6" fillId="10" borderId="13" xfId="0" applyFont="1" applyFill="1" applyBorder="1" applyAlignment="1">
      <alignment horizontal="center" vertical="center" wrapText="1"/>
    </xf>
    <xf numFmtId="0" fontId="6" fillId="10" borderId="14" xfId="0" applyFont="1" applyFill="1" applyBorder="1" applyAlignment="1">
      <alignment horizontal="center" vertical="center" wrapText="1"/>
    </xf>
    <xf numFmtId="0" fontId="6" fillId="10" borderId="15" xfId="0" applyFont="1" applyFill="1" applyBorder="1" applyAlignment="1">
      <alignment horizontal="center" vertical="center" wrapText="1"/>
    </xf>
    <xf numFmtId="0" fontId="6" fillId="10" borderId="9" xfId="0" applyFont="1" applyFill="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5" borderId="8" xfId="0" applyFont="1" applyFill="1" applyBorder="1" applyAlignment="1">
      <alignment horizontal="right" vertical="center" wrapText="1"/>
    </xf>
    <xf numFmtId="0" fontId="6" fillId="5" borderId="9" xfId="0" applyFont="1" applyFill="1" applyBorder="1" applyAlignment="1">
      <alignment horizontal="right" vertical="center" wrapText="1"/>
    </xf>
    <xf numFmtId="0" fontId="6" fillId="5" borderId="3" xfId="0" applyFont="1" applyFill="1" applyBorder="1" applyAlignment="1">
      <alignment horizontal="right" vertical="center" wrapText="1"/>
    </xf>
    <xf numFmtId="0" fontId="6" fillId="5" borderId="5" xfId="0" applyFont="1" applyFill="1" applyBorder="1" applyAlignment="1">
      <alignment horizontal="right" vertical="center" wrapText="1"/>
    </xf>
    <xf numFmtId="0" fontId="6" fillId="9" borderId="0" xfId="0" applyFont="1" applyFill="1" applyAlignment="1">
      <alignment horizontal="left" vertical="center"/>
    </xf>
    <xf numFmtId="0" fontId="5" fillId="9" borderId="0" xfId="0" applyFont="1" applyFill="1" applyAlignment="1">
      <alignment horizontal="left" vertical="center" indent="1"/>
    </xf>
    <xf numFmtId="0" fontId="20" fillId="10" borderId="13" xfId="0" applyFont="1" applyFill="1" applyBorder="1" applyAlignment="1">
      <alignment horizontal="left" vertical="center"/>
    </xf>
    <xf numFmtId="0" fontId="20" fillId="10" borderId="14" xfId="0" applyFont="1" applyFill="1" applyBorder="1" applyAlignment="1">
      <alignment horizontal="left" vertical="center"/>
    </xf>
    <xf numFmtId="0" fontId="20" fillId="10" borderId="15" xfId="0" applyFont="1" applyFill="1" applyBorder="1" applyAlignment="1">
      <alignment horizontal="left" vertical="center"/>
    </xf>
    <xf numFmtId="0" fontId="5" fillId="3" borderId="14"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0" xfId="0" applyFont="1" applyFill="1" applyAlignment="1">
      <alignment horizontal="left" vertical="center" wrapText="1"/>
    </xf>
    <xf numFmtId="0" fontId="5" fillId="3" borderId="2" xfId="0" applyFont="1" applyFill="1" applyBorder="1" applyAlignment="1">
      <alignment horizontal="left" vertical="center" wrapText="1"/>
    </xf>
    <xf numFmtId="0" fontId="5" fillId="3" borderId="5" xfId="0" applyFont="1" applyFill="1" applyBorder="1" applyAlignment="1">
      <alignment horizontal="left" vertical="center" wrapText="1"/>
    </xf>
    <xf numFmtId="0" fontId="5" fillId="3" borderId="4" xfId="0" applyFont="1" applyFill="1" applyBorder="1" applyAlignment="1">
      <alignment horizontal="left" vertical="center" wrapText="1"/>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7" borderId="3" xfId="0" applyFont="1" applyFill="1" applyBorder="1" applyAlignment="1">
      <alignment horizontal="center"/>
    </xf>
    <xf numFmtId="0" fontId="6" fillId="7" borderId="4" xfId="0" applyFont="1" applyFill="1" applyBorder="1" applyAlignment="1">
      <alignment horizontal="center"/>
    </xf>
    <xf numFmtId="0" fontId="6" fillId="0" borderId="8" xfId="0" applyFont="1" applyBorder="1" applyAlignment="1">
      <alignment horizontal="center" vertical="center" wrapText="1"/>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27" fillId="10" borderId="13" xfId="0" applyFont="1" applyFill="1" applyBorder="1" applyAlignment="1">
      <alignment horizontal="center" vertical="center"/>
    </xf>
    <xf numFmtId="0" fontId="27" fillId="10" borderId="15" xfId="0" applyFont="1" applyFill="1" applyBorder="1" applyAlignment="1">
      <alignment horizontal="center" vertical="center"/>
    </xf>
    <xf numFmtId="0" fontId="6" fillId="7" borderId="3" xfId="0" applyFont="1" applyFill="1" applyBorder="1" applyAlignment="1">
      <alignment horizontal="center" vertical="center"/>
    </xf>
    <xf numFmtId="0" fontId="6" fillId="7" borderId="4" xfId="0" applyFont="1" applyFill="1" applyBorder="1" applyAlignment="1">
      <alignment horizontal="center" vertical="center"/>
    </xf>
    <xf numFmtId="0" fontId="4" fillId="9" borderId="0" xfId="0" applyFont="1" applyFill="1" applyAlignment="1">
      <alignment horizontal="left" vertical="center"/>
    </xf>
    <xf numFmtId="0" fontId="5" fillId="0" borderId="43" xfId="0" applyFont="1" applyBorder="1" applyAlignment="1">
      <alignment horizontal="center" vertical="center" wrapText="1"/>
    </xf>
    <xf numFmtId="0" fontId="5" fillId="0" borderId="41" xfId="0" applyFont="1" applyBorder="1" applyAlignment="1">
      <alignment horizontal="center" vertical="center" wrapText="1"/>
    </xf>
    <xf numFmtId="0" fontId="5" fillId="0" borderId="46" xfId="0" applyFont="1" applyBorder="1" applyAlignment="1">
      <alignment horizontal="center" vertical="center" wrapText="1"/>
    </xf>
    <xf numFmtId="0" fontId="5" fillId="0" borderId="44"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47" xfId="0" applyFont="1" applyBorder="1" applyAlignment="1">
      <alignment horizontal="center" vertical="center" wrapText="1"/>
    </xf>
    <xf numFmtId="0" fontId="5" fillId="0" borderId="45"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48" xfId="0" applyFont="1" applyBorder="1" applyAlignment="1">
      <alignment horizontal="center" vertical="center" wrapText="1"/>
    </xf>
    <xf numFmtId="0" fontId="23" fillId="9" borderId="0" xfId="0" applyFont="1" applyFill="1" applyAlignment="1">
      <alignment horizontal="center"/>
    </xf>
    <xf numFmtId="0" fontId="6" fillId="3" borderId="8"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6" fillId="0" borderId="27"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28" xfId="0" applyFont="1" applyBorder="1" applyAlignment="1">
      <alignment horizontal="center" vertical="center" wrapText="1"/>
    </xf>
    <xf numFmtId="0" fontId="6" fillId="0" borderId="40" xfId="0" applyFont="1" applyBorder="1" applyAlignment="1">
      <alignment horizontal="center" vertical="center" wrapText="1"/>
    </xf>
    <xf numFmtId="0" fontId="6" fillId="3" borderId="0" xfId="0" applyFont="1" applyFill="1" applyAlignment="1">
      <alignment horizontal="center" vertical="center" wrapText="1"/>
    </xf>
    <xf numFmtId="0" fontId="6" fillId="3" borderId="2"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 fillId="10" borderId="13" xfId="0" applyFont="1" applyFill="1" applyBorder="1" applyAlignment="1">
      <alignment horizontal="center" vertical="center"/>
    </xf>
    <xf numFmtId="0" fontId="6" fillId="10" borderId="14" xfId="0" applyFont="1" applyFill="1" applyBorder="1" applyAlignment="1">
      <alignment horizontal="center" vertical="center"/>
    </xf>
    <xf numFmtId="0" fontId="6" fillId="10" borderId="15" xfId="0" applyFont="1" applyFill="1" applyBorder="1" applyAlignment="1">
      <alignment horizontal="center" vertical="center"/>
    </xf>
    <xf numFmtId="0" fontId="6" fillId="0" borderId="1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20" fillId="10" borderId="13" xfId="0" applyFont="1" applyFill="1" applyBorder="1" applyAlignment="1">
      <alignment horizontal="center" vertical="center"/>
    </xf>
    <xf numFmtId="0" fontId="20" fillId="10" borderId="14" xfId="0" applyFont="1" applyFill="1" applyBorder="1" applyAlignment="1">
      <alignment horizontal="center" vertical="center"/>
    </xf>
    <xf numFmtId="0" fontId="20" fillId="10" borderId="15" xfId="0" applyFont="1" applyFill="1" applyBorder="1" applyAlignment="1">
      <alignment horizontal="center" vertical="center"/>
    </xf>
    <xf numFmtId="0" fontId="20" fillId="9" borderId="0" xfId="0" applyFont="1" applyFill="1" applyAlignment="1">
      <alignment horizontal="left" vertical="center"/>
    </xf>
    <xf numFmtId="0" fontId="4" fillId="3" borderId="8" xfId="0" applyFont="1" applyFill="1" applyBorder="1" applyAlignment="1">
      <alignment horizontal="center"/>
    </xf>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10" borderId="13" xfId="0" applyFont="1" applyFill="1" applyBorder="1" applyAlignment="1">
      <alignment horizontal="center" vertical="center"/>
    </xf>
    <xf numFmtId="0" fontId="4" fillId="10" borderId="15" xfId="0" applyFont="1" applyFill="1" applyBorder="1" applyAlignment="1">
      <alignment horizontal="center" vertical="center"/>
    </xf>
    <xf numFmtId="0" fontId="4" fillId="3" borderId="8"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3" xfId="0" applyFont="1" applyFill="1" applyBorder="1" applyAlignment="1">
      <alignment horizontal="center" vertical="center"/>
    </xf>
    <xf numFmtId="0" fontId="13" fillId="9" borderId="0" xfId="0" applyFont="1" applyFill="1" applyAlignment="1">
      <alignment horizontal="center" vertical="center" wrapText="1"/>
    </xf>
    <xf numFmtId="0" fontId="13" fillId="9" borderId="5" xfId="0" applyFont="1" applyFill="1" applyBorder="1" applyAlignment="1">
      <alignment horizontal="center" vertical="center" wrapText="1"/>
    </xf>
    <xf numFmtId="0" fontId="5" fillId="9" borderId="0" xfId="0" applyFont="1" applyFill="1" applyAlignment="1">
      <alignment horizontal="center" vertical="center" wrapText="1"/>
    </xf>
    <xf numFmtId="0" fontId="5" fillId="3" borderId="13" xfId="0" applyFont="1" applyFill="1" applyBorder="1" applyAlignment="1">
      <alignment horizontal="center" vertical="center" wrapText="1"/>
    </xf>
    <xf numFmtId="0" fontId="5" fillId="3" borderId="15" xfId="0" applyFont="1" applyFill="1" applyBorder="1" applyAlignment="1">
      <alignment horizontal="center" vertical="center" wrapText="1"/>
    </xf>
  </cellXfs>
  <cellStyles count="2">
    <cellStyle name="Hyperlink" xfId="1" builtinId="8"/>
    <cellStyle name="Normal" xfId="0" builtinId="0"/>
  </cellStyles>
  <dxfs count="45">
    <dxf>
      <fill>
        <patternFill>
          <bgColor rgb="FF00B050"/>
        </patternFill>
      </fill>
    </dxf>
    <dxf>
      <fill>
        <patternFill>
          <bgColor rgb="FFFF0000"/>
        </patternFill>
      </fill>
    </dxf>
    <dxf>
      <fill>
        <patternFill>
          <bgColor rgb="FF00B05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theme="9" tint="0.59996337778862885"/>
        </patternFill>
      </fill>
    </dxf>
    <dxf>
      <fill>
        <patternFill>
          <bgColor rgb="FFFFFF99"/>
        </patternFill>
      </fill>
    </dxf>
    <dxf>
      <fill>
        <patternFill>
          <bgColor rgb="FFFF5050"/>
        </patternFill>
      </fill>
    </dxf>
    <dxf>
      <fill>
        <patternFill>
          <bgColor theme="0"/>
        </patternFill>
      </fill>
    </dxf>
    <dxf>
      <fill>
        <patternFill>
          <bgColor theme="9"/>
        </patternFill>
      </fill>
    </dxf>
    <dxf>
      <fill>
        <patternFill>
          <bgColor rgb="FFFF000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9" tint="0.59996337778862885"/>
        </patternFill>
      </fill>
    </dxf>
    <dxf>
      <fill>
        <patternFill>
          <bgColor rgb="FFFFFF99"/>
        </patternFill>
      </fill>
    </dxf>
    <dxf>
      <fill>
        <patternFill>
          <bgColor rgb="FFFF5050"/>
        </patternFill>
      </fill>
    </dxf>
    <dxf>
      <fill>
        <patternFill>
          <bgColor theme="0"/>
        </patternFill>
      </fill>
    </dxf>
    <dxf>
      <fill>
        <patternFill>
          <bgColor rgb="FFFFC000"/>
        </patternFill>
      </fill>
    </dxf>
    <dxf>
      <fill>
        <patternFill>
          <bgColor rgb="FFFF0000"/>
        </patternFill>
      </fill>
    </dxf>
    <dxf>
      <fill>
        <patternFill>
          <bgColor rgb="FFFFFF00"/>
        </patternFill>
      </fill>
    </dxf>
    <dxf>
      <fill>
        <patternFill>
          <bgColor rgb="FF92D050"/>
        </patternFill>
      </fill>
    </dxf>
    <dxf>
      <fill>
        <patternFill>
          <bgColor rgb="FF00B050"/>
        </patternFill>
      </fill>
    </dxf>
    <dxf>
      <fill>
        <patternFill>
          <bgColor theme="9" tint="0.59996337778862885"/>
        </patternFill>
      </fill>
    </dxf>
    <dxf>
      <fill>
        <patternFill>
          <bgColor rgb="FFFFFF99"/>
        </patternFill>
      </fill>
    </dxf>
    <dxf>
      <fill>
        <patternFill>
          <bgColor rgb="FFFF5050"/>
        </patternFill>
      </fill>
    </dxf>
    <dxf>
      <fill>
        <patternFill>
          <bgColor theme="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FF00"/>
        </patternFill>
      </fill>
    </dxf>
    <dxf>
      <fill>
        <patternFill>
          <bgColor rgb="FFFFC000"/>
        </patternFill>
      </fill>
    </dxf>
    <dxf>
      <fill>
        <patternFill>
          <bgColor rgb="FFFF0000"/>
        </patternFill>
      </fill>
    </dxf>
    <dxf>
      <fill>
        <patternFill>
          <bgColor rgb="FF00B050"/>
        </patternFill>
      </fill>
    </dxf>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colors>
    <mruColors>
      <color rgb="FF94DCF8"/>
      <color rgb="FFFF505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22/11/relationships/FeaturePropertyBag" Target="featurePropertyBag/featurePropertyBag.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hyperlink" Target="#DfAM!A1"/></Relationships>
</file>

<file path=xl/drawings/_rels/drawing2.xml.rels><?xml version="1.0" encoding="UTF-8" standalone="yes"?>
<Relationships xmlns="http://schemas.openxmlformats.org/package/2006/relationships"><Relationship Id="rId3" Type="http://schemas.openxmlformats.org/officeDocument/2006/relationships/image" Target="../media/image32.png"/><Relationship Id="rId2" Type="http://schemas.openxmlformats.org/officeDocument/2006/relationships/image" Target="../media/image31.png"/><Relationship Id="rId1" Type="http://schemas.openxmlformats.org/officeDocument/2006/relationships/hyperlink" Target="#'3D Print Risk'!A1"/></Relationships>
</file>

<file path=xl/drawings/_rels/drawing3.xml.rels><?xml version="1.0" encoding="UTF-8" standalone="yes"?>
<Relationships xmlns="http://schemas.openxmlformats.org/package/2006/relationships"><Relationship Id="rId1" Type="http://schemas.openxmlformats.org/officeDocument/2006/relationships/hyperlink" Target="#'Human Interface Risk'!A1"/></Relationships>
</file>

<file path=xl/drawings/_rels/drawing4.xml.rels><?xml version="1.0" encoding="UTF-8" standalone="yes"?>
<Relationships xmlns="http://schemas.openxmlformats.org/package/2006/relationships"><Relationship Id="rId1" Type="http://schemas.openxmlformats.org/officeDocument/2006/relationships/hyperlink" Target="#'Bypass Option'!A1"/></Relationships>
</file>

<file path=xl/drawings/_rels/drawing5.xml.rels><?xml version="1.0" encoding="UTF-8" standalone="yes"?>
<Relationships xmlns="http://schemas.openxmlformats.org/package/2006/relationships"><Relationship Id="rId2" Type="http://schemas.openxmlformats.org/officeDocument/2006/relationships/hyperlink" Target="#'Risk Matrix OUTPUT'!A1"/><Relationship Id="rId1" Type="http://schemas.openxmlformats.org/officeDocument/2006/relationships/hyperlink" Target="#'Flight Environment Risk Part 1'!A1"/></Relationships>
</file>

<file path=xl/drawings/_rels/drawing6.xml.rels><?xml version="1.0" encoding="UTF-8" standalone="yes"?>
<Relationships xmlns="http://schemas.openxmlformats.org/package/2006/relationships"><Relationship Id="rId1" Type="http://schemas.openxmlformats.org/officeDocument/2006/relationships/hyperlink" Target="#'Flight Environment Risk Part 2'!A1"/></Relationships>
</file>

<file path=xl/drawings/_rels/drawing7.xml.rels><?xml version="1.0" encoding="UTF-8" standalone="yes"?>
<Relationships xmlns="http://schemas.openxmlformats.org/package/2006/relationships"><Relationship Id="rId1" Type="http://schemas.openxmlformats.org/officeDocument/2006/relationships/hyperlink" Target="#'Risk Matrix OUTPUT'!A1"/></Relationships>
</file>

<file path=xl/drawings/drawing1.xml><?xml version="1.0" encoding="utf-8"?>
<xdr:wsDr xmlns:xdr="http://schemas.openxmlformats.org/drawingml/2006/spreadsheetDrawing" xmlns:a="http://schemas.openxmlformats.org/drawingml/2006/main">
  <xdr:twoCellAnchor>
    <xdr:from>
      <xdr:col>6</xdr:col>
      <xdr:colOff>9525</xdr:colOff>
      <xdr:row>9</xdr:row>
      <xdr:rowOff>28575</xdr:rowOff>
    </xdr:from>
    <xdr:to>
      <xdr:col>7</xdr:col>
      <xdr:colOff>569673</xdr:colOff>
      <xdr:row>9</xdr:row>
      <xdr:rowOff>524397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A79A909-3A06-4F9B-9B93-82AC3528799D}"/>
            </a:ext>
          </a:extLst>
        </xdr:cNvPr>
        <xdr:cNvSpPr/>
      </xdr:nvSpPr>
      <xdr:spPr>
        <a:xfrm>
          <a:off x="8248650" y="6343650"/>
          <a:ext cx="2074623" cy="495822"/>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Go To Next Step</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18</xdr:col>
      <xdr:colOff>1056885</xdr:colOff>
      <xdr:row>10</xdr:row>
      <xdr:rowOff>117432</xdr:rowOff>
    </xdr:from>
    <xdr:to>
      <xdr:col>22</xdr:col>
      <xdr:colOff>182672</xdr:colOff>
      <xdr:row>12</xdr:row>
      <xdr:rowOff>143528</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9673D81A-482C-EBF2-03FA-D3BB4312BE22}"/>
            </a:ext>
          </a:extLst>
        </xdr:cNvPr>
        <xdr:cNvSpPr/>
      </xdr:nvSpPr>
      <xdr:spPr>
        <a:xfrm>
          <a:off x="19284864" y="6615309"/>
          <a:ext cx="2074623" cy="495822"/>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Go To Next Step</a:t>
          </a:r>
        </a:p>
      </xdr:txBody>
    </xdr:sp>
    <xdr:clientData/>
  </xdr:twoCellAnchor>
  <xdr:twoCellAnchor editAs="oneCell">
    <xdr:from>
      <xdr:col>12</xdr:col>
      <xdr:colOff>313151</xdr:colOff>
      <xdr:row>17</xdr:row>
      <xdr:rowOff>260959</xdr:rowOff>
    </xdr:from>
    <xdr:to>
      <xdr:col>12</xdr:col>
      <xdr:colOff>598941</xdr:colOff>
      <xdr:row>17</xdr:row>
      <xdr:rowOff>518170</xdr:rowOff>
    </xdr:to>
    <xdr:pic>
      <xdr:nvPicPr>
        <xdr:cNvPr id="17" name="Picture 16">
          <a:extLst>
            <a:ext uri="{FF2B5EF4-FFF2-40B4-BE49-F238E27FC236}">
              <a16:creationId xmlns:a16="http://schemas.microsoft.com/office/drawing/2014/main" id="{F6648E02-A611-B67A-B717-212C0ECB7FEB}"/>
            </a:ext>
          </a:extLst>
        </xdr:cNvPr>
        <xdr:cNvPicPr>
          <a:picLocks noChangeAspect="1"/>
        </xdr:cNvPicPr>
      </xdr:nvPicPr>
      <xdr:blipFill>
        <a:blip xmlns:r="http://schemas.openxmlformats.org/officeDocument/2006/relationships" r:embed="rId2"/>
        <a:stretch>
          <a:fillRect/>
        </a:stretch>
      </xdr:blipFill>
      <xdr:spPr>
        <a:xfrm>
          <a:off x="15318288" y="9681575"/>
          <a:ext cx="285790" cy="257211"/>
        </a:xfrm>
        <a:prstGeom prst="rect">
          <a:avLst/>
        </a:prstGeom>
      </xdr:spPr>
    </xdr:pic>
    <xdr:clientData/>
  </xdr:twoCellAnchor>
  <xdr:twoCellAnchor editAs="oneCell">
    <xdr:from>
      <xdr:col>12</xdr:col>
      <xdr:colOff>260959</xdr:colOff>
      <xdr:row>16</xdr:row>
      <xdr:rowOff>260959</xdr:rowOff>
    </xdr:from>
    <xdr:to>
      <xdr:col>12</xdr:col>
      <xdr:colOff>670591</xdr:colOff>
      <xdr:row>16</xdr:row>
      <xdr:rowOff>613433</xdr:rowOff>
    </xdr:to>
    <xdr:pic>
      <xdr:nvPicPr>
        <xdr:cNvPr id="18" name="Picture 17">
          <a:extLst>
            <a:ext uri="{FF2B5EF4-FFF2-40B4-BE49-F238E27FC236}">
              <a16:creationId xmlns:a16="http://schemas.microsoft.com/office/drawing/2014/main" id="{2DFE5C74-1D75-B50A-8DA1-7DDD50D4029E}"/>
            </a:ext>
          </a:extLst>
        </xdr:cNvPr>
        <xdr:cNvPicPr>
          <a:picLocks noChangeAspect="1"/>
        </xdr:cNvPicPr>
      </xdr:nvPicPr>
      <xdr:blipFill>
        <a:blip xmlns:r="http://schemas.openxmlformats.org/officeDocument/2006/relationships" r:embed="rId3"/>
        <a:stretch>
          <a:fillRect/>
        </a:stretch>
      </xdr:blipFill>
      <xdr:spPr>
        <a:xfrm>
          <a:off x="15266096" y="8963938"/>
          <a:ext cx="409632" cy="35247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9</xdr:col>
      <xdr:colOff>769816</xdr:colOff>
      <xdr:row>26</xdr:row>
      <xdr:rowOff>455992</xdr:rowOff>
    </xdr:from>
    <xdr:to>
      <xdr:col>10</xdr:col>
      <xdr:colOff>2647950</xdr:colOff>
      <xdr:row>27</xdr:row>
      <xdr:rowOff>571499</xdr:rowOff>
    </xdr:to>
    <xdr:sp macro="" textlink="">
      <xdr:nvSpPr>
        <xdr:cNvPr id="4" name="Rectangle: Rounded Corners 1">
          <a:hlinkClick xmlns:r="http://schemas.openxmlformats.org/officeDocument/2006/relationships" r:id="rId1"/>
          <a:extLst>
            <a:ext uri="{FF2B5EF4-FFF2-40B4-BE49-F238E27FC236}">
              <a16:creationId xmlns:a16="http://schemas.microsoft.com/office/drawing/2014/main" id="{2AFDBD94-0455-4B53-98E8-2A90BECE6D0E}"/>
            </a:ext>
          </a:extLst>
        </xdr:cNvPr>
        <xdr:cNvSpPr/>
      </xdr:nvSpPr>
      <xdr:spPr>
        <a:xfrm>
          <a:off x="17133766" y="12076492"/>
          <a:ext cx="3630734" cy="591757"/>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Go To Next Step</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496981</xdr:colOff>
      <xdr:row>14</xdr:row>
      <xdr:rowOff>246529</xdr:rowOff>
    </xdr:from>
    <xdr:to>
      <xdr:col>8</xdr:col>
      <xdr:colOff>66529</xdr:colOff>
      <xdr:row>15</xdr:row>
      <xdr:rowOff>609561</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892A7DF6-0230-47ED-90DB-C3CBB2113192}"/>
            </a:ext>
          </a:extLst>
        </xdr:cNvPr>
        <xdr:cNvSpPr/>
      </xdr:nvSpPr>
      <xdr:spPr>
        <a:xfrm>
          <a:off x="12173510" y="8438029"/>
          <a:ext cx="2079666" cy="833679"/>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Go To Next Step</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6</xdr:col>
      <xdr:colOff>762000</xdr:colOff>
      <xdr:row>9</xdr:row>
      <xdr:rowOff>85725</xdr:rowOff>
    </xdr:from>
    <xdr:to>
      <xdr:col>9</xdr:col>
      <xdr:colOff>190500</xdr:colOff>
      <xdr:row>10</xdr:row>
      <xdr:rowOff>142875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727021B8-5E28-4B79-8C4D-6A672ED17F36}"/>
            </a:ext>
          </a:extLst>
        </xdr:cNvPr>
        <xdr:cNvSpPr/>
      </xdr:nvSpPr>
      <xdr:spPr>
        <a:xfrm>
          <a:off x="5562600" y="2466975"/>
          <a:ext cx="1571625" cy="295275"/>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Go To Next Step</a:t>
          </a:r>
        </a:p>
      </xdr:txBody>
    </xdr:sp>
    <xdr:clientData/>
  </xdr:twoCellAnchor>
  <xdr:twoCellAnchor>
    <xdr:from>
      <xdr:col>10</xdr:col>
      <xdr:colOff>171450</xdr:colOff>
      <xdr:row>7</xdr:row>
      <xdr:rowOff>190500</xdr:rowOff>
    </xdr:from>
    <xdr:to>
      <xdr:col>12</xdr:col>
      <xdr:colOff>142875</xdr:colOff>
      <xdr:row>8</xdr:row>
      <xdr:rowOff>247650</xdr:rowOff>
    </xdr:to>
    <xdr:sp macro="" textlink="">
      <xdr:nvSpPr>
        <xdr:cNvPr id="3" name="Rectangle: Rounded Corners 2">
          <a:hlinkClick xmlns:r="http://schemas.openxmlformats.org/officeDocument/2006/relationships" r:id="rId2"/>
          <a:extLst>
            <a:ext uri="{FF2B5EF4-FFF2-40B4-BE49-F238E27FC236}">
              <a16:creationId xmlns:a16="http://schemas.microsoft.com/office/drawing/2014/main" id="{B33361B8-6797-71EA-D594-405ED9BA686F}"/>
            </a:ext>
          </a:extLst>
        </xdr:cNvPr>
        <xdr:cNvSpPr/>
      </xdr:nvSpPr>
      <xdr:spPr>
        <a:xfrm>
          <a:off x="7362825" y="2095500"/>
          <a:ext cx="1571625" cy="295275"/>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Go To Output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xdr:col>
      <xdr:colOff>355411</xdr:colOff>
      <xdr:row>13</xdr:row>
      <xdr:rowOff>838769</xdr:rowOff>
    </xdr:from>
    <xdr:to>
      <xdr:col>5</xdr:col>
      <xdr:colOff>2428673</xdr:colOff>
      <xdr:row>14</xdr:row>
      <xdr:rowOff>57988</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636ED08-CA4F-4723-BA5D-B6A7819A4E76}"/>
            </a:ext>
          </a:extLst>
        </xdr:cNvPr>
        <xdr:cNvSpPr/>
      </xdr:nvSpPr>
      <xdr:spPr>
        <a:xfrm>
          <a:off x="11856493" y="10491717"/>
          <a:ext cx="2073262" cy="825674"/>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Go To Next Step</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8</xdr:col>
      <xdr:colOff>1523999</xdr:colOff>
      <xdr:row>31</xdr:row>
      <xdr:rowOff>190500</xdr:rowOff>
    </xdr:from>
    <xdr:to>
      <xdr:col>10</xdr:col>
      <xdr:colOff>3687536</xdr:colOff>
      <xdr:row>33</xdr:row>
      <xdr:rowOff>50067</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0BDF13D-9A2F-4DCF-8261-6DBDF4A3F509}"/>
            </a:ext>
          </a:extLst>
        </xdr:cNvPr>
        <xdr:cNvSpPr/>
      </xdr:nvSpPr>
      <xdr:spPr>
        <a:xfrm>
          <a:off x="12831535" y="15933964"/>
          <a:ext cx="5470072" cy="825674"/>
        </a:xfrm>
        <a:prstGeom prst="roundRect">
          <a:avLst/>
        </a:prstGeom>
        <a:ln>
          <a:solidFill>
            <a:sysClr val="windowText" lastClr="000000"/>
          </a:solidFill>
        </a:ln>
        <a:effectLst>
          <a:outerShdw blurRad="50800" dist="38100" dir="5400000" algn="t"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a:t>Go To Next Step</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60637-7DD1-4870-A9D3-576310C3C401}">
  <dimension ref="A1:H10"/>
  <sheetViews>
    <sheetView tabSelected="1" zoomScale="55" zoomScaleNormal="55" workbookViewId="0">
      <selection activeCell="A2" sqref="A2"/>
    </sheetView>
  </sheetViews>
  <sheetFormatPr defaultColWidth="0" defaultRowHeight="15" customHeight="1" zeroHeight="1" x14ac:dyDescent="0.55000000000000004"/>
  <cols>
    <col min="1" max="1" width="10" style="2" customWidth="1"/>
    <col min="2" max="6" width="22.68359375" style="2" customWidth="1"/>
    <col min="7" max="7" width="44.68359375" style="2" customWidth="1"/>
    <col min="8" max="8" width="10" style="2" customWidth="1"/>
    <col min="9" max="16384" width="9.15625" hidden="1"/>
  </cols>
  <sheetData>
    <row r="1" spans="1:8" ht="1.5" customHeight="1" x14ac:dyDescent="0.55000000000000004"/>
    <row r="2" spans="1:8" s="1" customFormat="1" ht="129.75" customHeight="1" x14ac:dyDescent="0.55000000000000004">
      <c r="A2" s="94"/>
      <c r="B2" s="179" t="s">
        <v>320</v>
      </c>
      <c r="C2" s="179"/>
      <c r="D2" s="179"/>
      <c r="E2" s="179"/>
      <c r="F2" s="179"/>
      <c r="G2" s="179"/>
      <c r="H2" s="94"/>
    </row>
    <row r="3" spans="1:8" ht="50.1" customHeight="1" x14ac:dyDescent="0.55000000000000004">
      <c r="B3" s="178" t="s">
        <v>169</v>
      </c>
      <c r="C3" s="178"/>
      <c r="D3" s="178"/>
      <c r="E3" s="178"/>
      <c r="F3" s="178"/>
      <c r="G3" s="178"/>
    </row>
    <row r="4" spans="1:8" ht="50.1" customHeight="1" x14ac:dyDescent="0.55000000000000004">
      <c r="B4" s="178"/>
      <c r="C4" s="178"/>
      <c r="D4" s="178"/>
      <c r="E4" s="178"/>
      <c r="F4" s="178"/>
      <c r="G4" s="178"/>
    </row>
    <row r="5" spans="1:8" ht="50.1" customHeight="1" x14ac:dyDescent="0.55000000000000004">
      <c r="B5" s="178"/>
      <c r="C5" s="178"/>
      <c r="D5" s="178"/>
      <c r="E5" s="178"/>
      <c r="F5" s="178"/>
      <c r="G5" s="178"/>
    </row>
    <row r="6" spans="1:8" ht="80.25" customHeight="1" x14ac:dyDescent="0.55000000000000004">
      <c r="B6" s="178"/>
      <c r="C6" s="178"/>
      <c r="D6" s="178"/>
      <c r="E6" s="178"/>
      <c r="F6" s="178"/>
      <c r="G6" s="178"/>
    </row>
    <row r="7" spans="1:8" ht="27" customHeight="1" x14ac:dyDescent="0.55000000000000004">
      <c r="B7" s="178"/>
      <c r="C7" s="178"/>
      <c r="D7" s="178"/>
      <c r="E7" s="178"/>
      <c r="F7" s="178"/>
      <c r="G7" s="178"/>
    </row>
    <row r="8" spans="1:8" ht="145.5" customHeight="1" x14ac:dyDescent="0.55000000000000004">
      <c r="B8" s="180" t="s">
        <v>256</v>
      </c>
      <c r="C8" s="181"/>
      <c r="D8" s="181"/>
      <c r="E8" s="181"/>
      <c r="F8" s="181"/>
      <c r="G8" s="181"/>
    </row>
    <row r="9" spans="1:8" ht="108" customHeight="1" x14ac:dyDescent="0.55000000000000004">
      <c r="B9" s="181"/>
      <c r="C9" s="181"/>
      <c r="D9" s="181"/>
      <c r="E9" s="181"/>
      <c r="F9" s="181"/>
      <c r="G9" s="181"/>
    </row>
    <row r="10" spans="1:8" ht="50.1" customHeight="1" x14ac:dyDescent="0.55000000000000004">
      <c r="B10" s="115"/>
      <c r="C10" s="115"/>
      <c r="D10" s="115"/>
      <c r="E10" s="115"/>
      <c r="F10" s="115"/>
      <c r="G10" s="115"/>
    </row>
  </sheetData>
  <sheetProtection sheet="1" objects="1" scenarios="1"/>
  <mergeCells count="3">
    <mergeCell ref="B3:G7"/>
    <mergeCell ref="B2:G2"/>
    <mergeCell ref="B8:G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7873E-41A1-43C4-A4DA-7F8DB13F7389}">
  <sheetPr codeName="Sheet1"/>
  <dimension ref="A2:Y20"/>
  <sheetViews>
    <sheetView topLeftCell="A2" zoomScale="55" zoomScaleNormal="55" workbookViewId="0">
      <selection activeCell="A2" sqref="A2"/>
    </sheetView>
  </sheetViews>
  <sheetFormatPr defaultColWidth="0" defaultRowHeight="18.3" zeroHeight="1" x14ac:dyDescent="0.7"/>
  <cols>
    <col min="1" max="1" width="9.15625" style="28" customWidth="1"/>
    <col min="2" max="2" width="8.68359375" style="28" customWidth="1"/>
    <col min="3" max="3" width="36.26171875" style="28" customWidth="1"/>
    <col min="4" max="4" width="12" style="28" customWidth="1"/>
    <col min="5" max="5" width="9.41796875" style="28" customWidth="1"/>
    <col min="6" max="6" width="37.41796875" style="28" customWidth="1"/>
    <col min="7" max="7" width="15.26171875" style="28" customWidth="1"/>
    <col min="8" max="8" width="10" style="28" customWidth="1"/>
    <col min="9" max="9" width="38.41796875" style="28" customWidth="1"/>
    <col min="10" max="10" width="14" style="28" customWidth="1"/>
    <col min="11" max="11" width="9.26171875" style="28" customWidth="1"/>
    <col min="12" max="12" width="40.26171875" style="28" customWidth="1"/>
    <col min="13" max="13" width="14" style="28" customWidth="1"/>
    <col min="14" max="14" width="6.68359375" style="28" customWidth="1"/>
    <col min="15" max="15" width="6.26171875" style="28" customWidth="1"/>
    <col min="16" max="16" width="12" style="28" customWidth="1"/>
    <col min="17" max="17" width="7.15625" style="28" customWidth="1"/>
    <col min="18" max="18" width="7" style="28" bestFit="1" customWidth="1"/>
    <col min="19" max="19" width="20.15625" style="28" customWidth="1"/>
    <col min="20" max="21" width="9.15625" style="28" customWidth="1"/>
    <col min="22" max="22" width="5.68359375" style="28" bestFit="1" customWidth="1"/>
    <col min="23" max="23" width="19.26171875" style="28" customWidth="1"/>
    <col min="24" max="25" width="9.15625" style="28" customWidth="1"/>
    <col min="26" max="16384" width="9.15625" style="4" hidden="1"/>
  </cols>
  <sheetData>
    <row r="2" spans="2:24" ht="30.75" customHeight="1" x14ac:dyDescent="0.9">
      <c r="B2" s="183" t="s">
        <v>198</v>
      </c>
      <c r="C2" s="183"/>
      <c r="D2" s="183"/>
      <c r="E2" s="183"/>
      <c r="F2" s="183"/>
      <c r="G2" s="183"/>
      <c r="H2" s="183"/>
      <c r="I2" s="183"/>
      <c r="J2" s="183"/>
      <c r="K2" s="98" t="s">
        <v>189</v>
      </c>
      <c r="L2" s="45" t="s">
        <v>190</v>
      </c>
      <c r="M2" s="101"/>
      <c r="N2" s="101"/>
      <c r="O2" s="101"/>
      <c r="P2" s="101"/>
      <c r="Q2" s="3"/>
      <c r="R2" s="3"/>
      <c r="S2" s="3"/>
      <c r="T2" s="3"/>
      <c r="U2" s="3"/>
      <c r="V2" s="3"/>
      <c r="W2" s="3"/>
      <c r="X2" s="3"/>
    </row>
    <row r="3" spans="2:24" ht="21.6" thickBot="1" x14ac:dyDescent="0.75">
      <c r="B3" s="3"/>
      <c r="C3" s="3"/>
      <c r="D3" s="3"/>
      <c r="E3" s="3"/>
      <c r="F3" s="3"/>
      <c r="G3" s="3"/>
      <c r="H3" s="3"/>
      <c r="I3" s="3"/>
      <c r="J3" s="3"/>
      <c r="K3" s="100" t="s">
        <v>191</v>
      </c>
      <c r="L3" s="96" t="s">
        <v>192</v>
      </c>
      <c r="M3" s="3"/>
      <c r="N3" s="3"/>
      <c r="O3" s="3"/>
      <c r="P3" s="3"/>
      <c r="Q3" s="3"/>
      <c r="R3" s="3"/>
      <c r="S3" s="3"/>
      <c r="T3" s="3"/>
      <c r="U3" s="3"/>
      <c r="V3" s="3"/>
      <c r="W3" s="3"/>
      <c r="X3" s="3"/>
    </row>
    <row r="4" spans="2:24" ht="30" customHeight="1" thickBot="1" x14ac:dyDescent="0.75">
      <c r="B4" s="193" t="s">
        <v>15</v>
      </c>
      <c r="C4" s="195" t="s">
        <v>0</v>
      </c>
      <c r="D4" s="196"/>
      <c r="E4" s="193" t="s">
        <v>15</v>
      </c>
      <c r="F4" s="195" t="s">
        <v>1</v>
      </c>
      <c r="G4" s="196"/>
      <c r="H4" s="193" t="s">
        <v>15</v>
      </c>
      <c r="I4" s="195" t="s">
        <v>2</v>
      </c>
      <c r="J4" s="196"/>
      <c r="K4" s="193" t="s">
        <v>15</v>
      </c>
      <c r="L4" s="195" t="s">
        <v>3</v>
      </c>
      <c r="M4" s="196"/>
      <c r="N4" s="193" t="s">
        <v>4</v>
      </c>
      <c r="O4" s="197"/>
      <c r="P4" s="199" t="s">
        <v>5</v>
      </c>
      <c r="Q4" s="3"/>
      <c r="R4" s="205" t="s">
        <v>157</v>
      </c>
      <c r="S4" s="206"/>
      <c r="T4" s="207"/>
      <c r="U4" s="3"/>
      <c r="V4" s="193" t="s">
        <v>158</v>
      </c>
      <c r="W4" s="208"/>
      <c r="X4" s="197"/>
    </row>
    <row r="5" spans="2:24" ht="29.25" customHeight="1" thickBot="1" x14ac:dyDescent="0.75">
      <c r="B5" s="194"/>
      <c r="C5" s="201" t="s">
        <v>14</v>
      </c>
      <c r="D5" s="202"/>
      <c r="E5" s="194"/>
      <c r="F5" s="201" t="s">
        <v>26</v>
      </c>
      <c r="G5" s="202"/>
      <c r="H5" s="194"/>
      <c r="I5" s="201" t="s">
        <v>27</v>
      </c>
      <c r="J5" s="202"/>
      <c r="K5" s="194"/>
      <c r="L5" s="201" t="s">
        <v>28</v>
      </c>
      <c r="M5" s="202"/>
      <c r="N5" s="194"/>
      <c r="O5" s="198"/>
      <c r="P5" s="200"/>
      <c r="Q5" s="3"/>
      <c r="R5" s="212" t="s">
        <v>52</v>
      </c>
      <c r="S5" s="213"/>
      <c r="T5" s="203">
        <f>P6+P7+P8+P9+P10+P16+P17+P18</f>
        <v>0</v>
      </c>
      <c r="U5" s="7"/>
      <c r="V5" s="209" t="str">
        <f>IF(T5&gt;=34, "High", IF(T5&gt;=28, "Probable", IF(T5&gt;=21, "Uncertain", IF(T5&gt;=15, "Remote", "Improbable"))))</f>
        <v>Improbable</v>
      </c>
      <c r="W5" s="210"/>
      <c r="X5" s="211"/>
    </row>
    <row r="6" spans="2:24" ht="87.75" customHeight="1" thickBot="1" x14ac:dyDescent="0.75">
      <c r="B6" s="160" t="b">
        <v>0</v>
      </c>
      <c r="C6" s="9" t="s">
        <v>194</v>
      </c>
      <c r="D6" s="10" t="e" vm="1">
        <v>#VALUE!</v>
      </c>
      <c r="E6" s="160" t="b">
        <v>0</v>
      </c>
      <c r="F6" s="9" t="s">
        <v>8</v>
      </c>
      <c r="G6" s="10" t="e" vm="2">
        <v>#VALUE!</v>
      </c>
      <c r="H6" s="160" t="b">
        <v>0</v>
      </c>
      <c r="I6" s="9" t="s">
        <v>16</v>
      </c>
      <c r="J6" s="10" t="e" vm="3">
        <v>#VALUE!</v>
      </c>
      <c r="K6" s="160" t="b">
        <v>0</v>
      </c>
      <c r="L6" s="9" t="s">
        <v>21</v>
      </c>
      <c r="M6" s="10" t="e" vm="4">
        <v>#VALUE!</v>
      </c>
      <c r="N6" s="11">
        <f>(COUNTIF(B6,TRUE)+COUNTIF(E6,TRUE)+COUNTIF(H6,TRUE)+COUNTIF(K6,TRUE))</f>
        <v>0</v>
      </c>
      <c r="O6" s="12" t="s">
        <v>29</v>
      </c>
      <c r="P6" s="13">
        <f>N6*5</f>
        <v>0</v>
      </c>
      <c r="Q6" s="3"/>
      <c r="R6" s="214"/>
      <c r="S6" s="215"/>
      <c r="T6" s="204"/>
      <c r="U6" s="7"/>
      <c r="V6" s="14" t="s">
        <v>163</v>
      </c>
      <c r="W6" s="15" t="s">
        <v>81</v>
      </c>
      <c r="X6" s="16"/>
    </row>
    <row r="7" spans="2:24" ht="58.2" thickBot="1" x14ac:dyDescent="0.75">
      <c r="B7" s="160" t="b">
        <v>0</v>
      </c>
      <c r="C7" s="9" t="s">
        <v>193</v>
      </c>
      <c r="D7" s="10" t="e" vm="5">
        <v>#VALUE!</v>
      </c>
      <c r="E7" s="160" t="b">
        <v>0</v>
      </c>
      <c r="F7" s="9" t="s">
        <v>9</v>
      </c>
      <c r="G7" s="10" t="e" vm="6">
        <v>#VALUE!</v>
      </c>
      <c r="H7" s="160" t="b">
        <v>0</v>
      </c>
      <c r="I7" s="9" t="s">
        <v>17</v>
      </c>
      <c r="J7" s="10" t="e" vm="7">
        <v>#VALUE!</v>
      </c>
      <c r="K7" s="160" t="b">
        <v>0</v>
      </c>
      <c r="L7" s="9" t="s">
        <v>22</v>
      </c>
      <c r="M7" s="10" t="e" vm="8">
        <v>#VALUE!</v>
      </c>
      <c r="N7" s="11">
        <f t="shared" ref="N7:N10" si="0">(COUNTIF(B7,TRUE)+COUNTIF(E7,TRUE)+COUNTIF(H7,TRUE)+COUNTIF(K7,TRUE))</f>
        <v>0</v>
      </c>
      <c r="O7" s="12" t="s">
        <v>30</v>
      </c>
      <c r="P7" s="13">
        <f>N7*4</f>
        <v>0</v>
      </c>
      <c r="Q7" s="3"/>
      <c r="R7" s="17" t="s">
        <v>53</v>
      </c>
      <c r="S7" s="8" t="s">
        <v>59</v>
      </c>
      <c r="T7" s="18"/>
      <c r="U7" s="3"/>
      <c r="V7" s="14" t="s">
        <v>162</v>
      </c>
      <c r="W7" s="15" t="s">
        <v>82</v>
      </c>
      <c r="X7" s="19"/>
    </row>
    <row r="8" spans="2:24" ht="55.2" thickBot="1" x14ac:dyDescent="0.75">
      <c r="B8" s="160" t="b">
        <v>0</v>
      </c>
      <c r="C8" s="9" t="s">
        <v>6</v>
      </c>
      <c r="D8" s="10" t="e" vm="9">
        <v>#VALUE!</v>
      </c>
      <c r="E8" s="160" t="b">
        <v>0</v>
      </c>
      <c r="F8" s="9" t="s">
        <v>10</v>
      </c>
      <c r="G8" s="10" t="e" vm="10">
        <v>#VALUE!</v>
      </c>
      <c r="H8" s="160" t="b">
        <v>0</v>
      </c>
      <c r="I8" s="9" t="s">
        <v>18</v>
      </c>
      <c r="J8" s="10" t="e" vm="11">
        <v>#VALUE!</v>
      </c>
      <c r="K8" s="160" t="b">
        <v>0</v>
      </c>
      <c r="L8" s="9" t="s">
        <v>23</v>
      </c>
      <c r="M8" s="10" t="e" vm="12">
        <v>#VALUE!</v>
      </c>
      <c r="N8" s="11">
        <f t="shared" si="0"/>
        <v>0</v>
      </c>
      <c r="O8" s="12" t="s">
        <v>31</v>
      </c>
      <c r="P8" s="13">
        <f>N8*3</f>
        <v>0</v>
      </c>
      <c r="Q8" s="3"/>
      <c r="R8" s="17" t="s">
        <v>54</v>
      </c>
      <c r="S8" s="8" t="s">
        <v>55</v>
      </c>
      <c r="T8" s="20"/>
      <c r="U8" s="3"/>
      <c r="V8" s="14" t="s">
        <v>161</v>
      </c>
      <c r="W8" s="15" t="s">
        <v>83</v>
      </c>
      <c r="X8" s="19"/>
    </row>
    <row r="9" spans="2:24" ht="55.2" thickBot="1" x14ac:dyDescent="0.75">
      <c r="B9" s="160" t="b">
        <v>0</v>
      </c>
      <c r="C9" s="9" t="s">
        <v>13</v>
      </c>
      <c r="D9" s="10" t="e" vm="13">
        <v>#VALUE!</v>
      </c>
      <c r="E9" s="160" t="b">
        <v>0</v>
      </c>
      <c r="F9" s="9" t="s">
        <v>11</v>
      </c>
      <c r="G9" s="10" t="e" vm="14">
        <v>#VALUE!</v>
      </c>
      <c r="H9" s="160" t="b">
        <v>0</v>
      </c>
      <c r="I9" s="9" t="s">
        <v>19</v>
      </c>
      <c r="J9" s="10" t="e" vm="15">
        <v>#VALUE!</v>
      </c>
      <c r="K9" s="160" t="b">
        <v>0</v>
      </c>
      <c r="L9" s="9" t="s">
        <v>24</v>
      </c>
      <c r="M9" s="10" t="e" vm="16">
        <v>#VALUE!</v>
      </c>
      <c r="N9" s="11">
        <f t="shared" si="0"/>
        <v>0</v>
      </c>
      <c r="O9" s="12" t="s">
        <v>32</v>
      </c>
      <c r="P9" s="13">
        <f>N9*2</f>
        <v>0</v>
      </c>
      <c r="Q9" s="3"/>
      <c r="R9" s="17" t="s">
        <v>56</v>
      </c>
      <c r="S9" s="8" t="s">
        <v>57</v>
      </c>
      <c r="T9" s="18"/>
      <c r="U9" s="3"/>
      <c r="V9" s="14" t="s">
        <v>160</v>
      </c>
      <c r="W9" s="15" t="s">
        <v>84</v>
      </c>
      <c r="X9" s="19"/>
    </row>
    <row r="10" spans="2:24" ht="62.25" customHeight="1" thickBot="1" x14ac:dyDescent="0.75">
      <c r="B10" s="161" t="b">
        <v>0</v>
      </c>
      <c r="C10" s="21" t="s">
        <v>7</v>
      </c>
      <c r="D10" s="22" t="e" vm="17">
        <v>#VALUE!</v>
      </c>
      <c r="E10" s="161" t="b">
        <v>0</v>
      </c>
      <c r="F10" s="21" t="s">
        <v>12</v>
      </c>
      <c r="G10" s="22" t="e" vm="18">
        <v>#VALUE!</v>
      </c>
      <c r="H10" s="161" t="b">
        <v>0</v>
      </c>
      <c r="I10" s="21" t="s">
        <v>20</v>
      </c>
      <c r="J10" s="22" t="e" vm="19">
        <v>#VALUE!</v>
      </c>
      <c r="K10" s="161" t="b">
        <v>0</v>
      </c>
      <c r="L10" s="21" t="s">
        <v>25</v>
      </c>
      <c r="M10" s="22" t="e" vm="20">
        <v>#VALUE!</v>
      </c>
      <c r="N10" s="23">
        <f t="shared" si="0"/>
        <v>0</v>
      </c>
      <c r="O10" s="24" t="s">
        <v>33</v>
      </c>
      <c r="P10" s="25">
        <f>N10*1</f>
        <v>0</v>
      </c>
      <c r="Q10" s="3"/>
      <c r="R10" s="17" t="s">
        <v>60</v>
      </c>
      <c r="S10" s="8" t="s">
        <v>58</v>
      </c>
      <c r="T10" s="18"/>
      <c r="U10" s="3"/>
      <c r="V10" s="26" t="s">
        <v>159</v>
      </c>
      <c r="W10" s="8" t="s">
        <v>85</v>
      </c>
      <c r="X10" s="27"/>
    </row>
    <row r="11" spans="2:24" x14ac:dyDescent="0.7">
      <c r="B11" s="3"/>
      <c r="E11" s="99"/>
      <c r="F11" s="99"/>
      <c r="G11" s="99"/>
      <c r="H11" s="99"/>
      <c r="I11" s="3"/>
      <c r="J11" s="3"/>
      <c r="K11" s="3"/>
      <c r="L11" s="3"/>
      <c r="M11" s="3"/>
      <c r="N11" s="184" t="s">
        <v>34</v>
      </c>
      <c r="O11" s="185"/>
      <c r="P11" s="186"/>
      <c r="Q11" s="3"/>
      <c r="R11" s="3"/>
      <c r="S11" s="3"/>
      <c r="T11" s="3"/>
      <c r="U11" s="3"/>
      <c r="V11" s="3"/>
      <c r="W11" s="3"/>
      <c r="X11" s="3"/>
    </row>
    <row r="12" spans="2:24" x14ac:dyDescent="0.7">
      <c r="B12" s="3"/>
      <c r="E12" s="3"/>
      <c r="F12" s="3"/>
      <c r="G12" s="3"/>
      <c r="H12" s="3"/>
      <c r="I12" s="3"/>
      <c r="J12" s="3"/>
      <c r="K12" s="3"/>
      <c r="L12" s="3"/>
      <c r="M12" s="3"/>
      <c r="N12" s="187"/>
      <c r="O12" s="188"/>
      <c r="P12" s="189"/>
      <c r="Q12" s="3"/>
      <c r="R12" s="3"/>
      <c r="S12" s="3"/>
      <c r="T12" s="3"/>
      <c r="U12" s="3"/>
      <c r="V12" s="3"/>
      <c r="W12" s="3"/>
      <c r="X12" s="3"/>
    </row>
    <row r="13" spans="2:24" ht="18.600000000000001" thickBot="1" x14ac:dyDescent="0.75">
      <c r="B13" s="3"/>
      <c r="C13" s="3"/>
      <c r="D13" s="3"/>
      <c r="E13" s="3"/>
      <c r="F13" s="3"/>
      <c r="G13" s="3"/>
      <c r="H13" s="3"/>
      <c r="I13" s="3"/>
      <c r="J13" s="3"/>
      <c r="K13" s="3"/>
      <c r="L13" s="3"/>
      <c r="M13" s="3"/>
      <c r="N13" s="190"/>
      <c r="O13" s="191"/>
      <c r="P13" s="192"/>
      <c r="Q13" s="3"/>
      <c r="R13" s="3"/>
      <c r="S13" s="3"/>
      <c r="T13" s="3"/>
      <c r="U13" s="3"/>
      <c r="V13" s="3"/>
      <c r="W13" s="3"/>
      <c r="X13" s="3"/>
    </row>
    <row r="14" spans="2:24" ht="29.25" customHeight="1" x14ac:dyDescent="0.7">
      <c r="B14" s="193" t="s">
        <v>15</v>
      </c>
      <c r="C14" s="195" t="s">
        <v>35</v>
      </c>
      <c r="D14" s="196"/>
      <c r="E14" s="193" t="s">
        <v>15</v>
      </c>
      <c r="F14" s="195" t="s">
        <v>231</v>
      </c>
      <c r="G14" s="196"/>
      <c r="H14" s="193" t="s">
        <v>15</v>
      </c>
      <c r="I14" s="195" t="s">
        <v>232</v>
      </c>
      <c r="J14" s="196"/>
      <c r="K14" s="193" t="s">
        <v>15</v>
      </c>
      <c r="L14" s="195" t="s">
        <v>233</v>
      </c>
      <c r="M14" s="195"/>
      <c r="N14" s="193" t="s">
        <v>4</v>
      </c>
      <c r="O14" s="197"/>
      <c r="P14" s="199" t="s">
        <v>5</v>
      </c>
      <c r="Q14" s="3"/>
      <c r="R14" s="182" t="s">
        <v>195</v>
      </c>
      <c r="S14" s="182"/>
      <c r="T14" s="182"/>
      <c r="U14" s="182"/>
      <c r="V14" s="182"/>
      <c r="W14" s="182"/>
      <c r="X14" s="182"/>
    </row>
    <row r="15" spans="2:24" ht="32.25" customHeight="1" thickBot="1" x14ac:dyDescent="0.75">
      <c r="B15" s="194"/>
      <c r="C15" s="201" t="s">
        <v>36</v>
      </c>
      <c r="D15" s="202"/>
      <c r="E15" s="194"/>
      <c r="F15" s="201" t="s">
        <v>39</v>
      </c>
      <c r="G15" s="202"/>
      <c r="H15" s="194"/>
      <c r="I15" s="201" t="s">
        <v>37</v>
      </c>
      <c r="J15" s="202"/>
      <c r="K15" s="194"/>
      <c r="L15" s="201" t="s">
        <v>38</v>
      </c>
      <c r="M15" s="201"/>
      <c r="N15" s="194"/>
      <c r="O15" s="198"/>
      <c r="P15" s="200"/>
      <c r="Q15" s="3"/>
      <c r="R15" s="182"/>
      <c r="S15" s="182"/>
      <c r="T15" s="182"/>
      <c r="U15" s="182"/>
      <c r="V15" s="182"/>
      <c r="W15" s="182"/>
      <c r="X15" s="182"/>
    </row>
    <row r="16" spans="2:24" ht="36.6" x14ac:dyDescent="0.7">
      <c r="B16" s="160" t="b">
        <v>0</v>
      </c>
      <c r="C16" s="9" t="s">
        <v>40</v>
      </c>
      <c r="D16" s="10" t="e" vm="21">
        <v>#VALUE!</v>
      </c>
      <c r="E16" s="160" t="b">
        <v>0</v>
      </c>
      <c r="F16" s="9" t="s">
        <v>45</v>
      </c>
      <c r="G16" s="10" t="e" vm="22">
        <v>#VALUE!</v>
      </c>
      <c r="H16" s="160" t="b">
        <v>0</v>
      </c>
      <c r="I16" s="9" t="s">
        <v>46</v>
      </c>
      <c r="J16" s="10" t="e" vm="23">
        <v>#VALUE!</v>
      </c>
      <c r="K16" s="160" t="b">
        <v>0</v>
      </c>
      <c r="L16" s="9" t="s">
        <v>49</v>
      </c>
      <c r="M16" s="9" t="e" vm="24">
        <v>#VALUE!</v>
      </c>
      <c r="N16" s="11">
        <f>(COUNTIF(B16,TRUE)+COUNTIF(E16,TRUE)+COUNTIF(H16,TRUE)+COUNTIF(K16,TRUE))</f>
        <v>0</v>
      </c>
      <c r="O16" s="12" t="s">
        <v>29</v>
      </c>
      <c r="P16" s="13">
        <f>N16*5</f>
        <v>0</v>
      </c>
      <c r="Q16" s="3"/>
      <c r="R16" s="182"/>
      <c r="S16" s="182"/>
      <c r="T16" s="182"/>
      <c r="U16" s="182"/>
      <c r="V16" s="182"/>
      <c r="W16" s="182"/>
      <c r="X16" s="182"/>
    </row>
    <row r="17" spans="2:24" ht="54.9" x14ac:dyDescent="0.7">
      <c r="B17" s="160" t="b">
        <v>0</v>
      </c>
      <c r="C17" s="9" t="s">
        <v>41</v>
      </c>
      <c r="D17" s="10" t="e" vm="25">
        <v>#VALUE!</v>
      </c>
      <c r="E17" s="160" t="b">
        <v>0</v>
      </c>
      <c r="F17" s="9" t="s">
        <v>43</v>
      </c>
      <c r="G17" s="10" t="e" vm="26">
        <v>#VALUE!</v>
      </c>
      <c r="H17" s="160" t="b">
        <v>0</v>
      </c>
      <c r="I17" s="9" t="s">
        <v>47</v>
      </c>
      <c r="J17" s="10" t="e" vm="27">
        <v>#VALUE!</v>
      </c>
      <c r="K17" s="160" t="b">
        <v>0</v>
      </c>
      <c r="L17" s="9" t="s">
        <v>50</v>
      </c>
      <c r="M17" s="9"/>
      <c r="N17" s="11">
        <f t="shared" ref="N17" si="1">(COUNTIF(B17,TRUE)+COUNTIF(E17,TRUE)+COUNTIF(H17,TRUE)+COUNTIF(K17,TRUE))</f>
        <v>0</v>
      </c>
      <c r="O17" s="12" t="s">
        <v>31</v>
      </c>
      <c r="P17" s="13">
        <f>N17*3</f>
        <v>0</v>
      </c>
      <c r="Q17" s="3"/>
      <c r="R17" s="182"/>
      <c r="S17" s="182"/>
      <c r="T17" s="182"/>
      <c r="U17" s="182"/>
      <c r="V17" s="182"/>
      <c r="W17" s="182"/>
      <c r="X17" s="182"/>
    </row>
    <row r="18" spans="2:24" ht="36.9" thickBot="1" x14ac:dyDescent="0.75">
      <c r="B18" s="161" t="b">
        <v>0</v>
      </c>
      <c r="C18" s="21" t="s">
        <v>42</v>
      </c>
      <c r="D18" s="22" t="e" vm="28">
        <v>#VALUE!</v>
      </c>
      <c r="E18" s="161" t="b">
        <v>0</v>
      </c>
      <c r="F18" s="21" t="s">
        <v>44</v>
      </c>
      <c r="G18" s="22" t="e" vm="29">
        <v>#VALUE!</v>
      </c>
      <c r="H18" s="161" t="b">
        <v>0</v>
      </c>
      <c r="I18" s="21" t="s">
        <v>48</v>
      </c>
      <c r="J18" s="22" t="e" vm="30">
        <v>#VALUE!</v>
      </c>
      <c r="K18" s="161" t="b">
        <v>0</v>
      </c>
      <c r="L18" s="21" t="s">
        <v>51</v>
      </c>
      <c r="M18" s="21"/>
      <c r="N18" s="23">
        <f>(COUNTIF(B18,TRUE)+COUNTIF(E18,TRUE)+COUNTIF(H18,TRUE)+COUNTIF(K18,TRUE))</f>
        <v>0</v>
      </c>
      <c r="O18" s="24" t="s">
        <v>33</v>
      </c>
      <c r="P18" s="25">
        <f>N18*1</f>
        <v>0</v>
      </c>
      <c r="Q18" s="3"/>
      <c r="R18" s="182"/>
      <c r="S18" s="182"/>
      <c r="T18" s="182"/>
      <c r="U18" s="182"/>
      <c r="V18" s="182"/>
      <c r="W18" s="182"/>
      <c r="X18" s="182"/>
    </row>
    <row r="19" spans="2:24" ht="37.5" customHeight="1" x14ac:dyDescent="0.7">
      <c r="B19" s="3"/>
      <c r="C19" s="3"/>
      <c r="D19" s="3"/>
      <c r="E19" s="3"/>
      <c r="F19" s="3"/>
      <c r="G19" s="3"/>
      <c r="H19" s="3"/>
      <c r="I19" s="3"/>
      <c r="J19" s="3"/>
      <c r="K19" s="3"/>
      <c r="L19" s="3"/>
      <c r="M19" s="3"/>
      <c r="Q19" s="3"/>
      <c r="R19" s="102"/>
      <c r="S19" s="102"/>
      <c r="T19" s="102"/>
      <c r="U19" s="102"/>
      <c r="V19" s="102"/>
      <c r="W19" s="102"/>
      <c r="X19" s="102"/>
    </row>
    <row r="20" spans="2:24" x14ac:dyDescent="0.7"/>
  </sheetData>
  <sheetProtection sheet="1" objects="1" scenarios="1"/>
  <mergeCells count="36">
    <mergeCell ref="C4:D4"/>
    <mergeCell ref="B4:B5"/>
    <mergeCell ref="C5:D5"/>
    <mergeCell ref="E4:E5"/>
    <mergeCell ref="P4:P5"/>
    <mergeCell ref="N4:O5"/>
    <mergeCell ref="H4:H5"/>
    <mergeCell ref="K4:K5"/>
    <mergeCell ref="T5:T6"/>
    <mergeCell ref="R4:T4"/>
    <mergeCell ref="V4:X4"/>
    <mergeCell ref="V5:X5"/>
    <mergeCell ref="R5:S6"/>
    <mergeCell ref="L15:M15"/>
    <mergeCell ref="F4:G4"/>
    <mergeCell ref="I4:J4"/>
    <mergeCell ref="L4:M4"/>
    <mergeCell ref="F5:G5"/>
    <mergeCell ref="I5:J5"/>
    <mergeCell ref="L5:M5"/>
    <mergeCell ref="R14:X18"/>
    <mergeCell ref="B2:J2"/>
    <mergeCell ref="N11:P13"/>
    <mergeCell ref="B14:B15"/>
    <mergeCell ref="C14:D14"/>
    <mergeCell ref="E14:E15"/>
    <mergeCell ref="F14:G14"/>
    <mergeCell ref="H14:H15"/>
    <mergeCell ref="I14:J14"/>
    <mergeCell ref="K14:K15"/>
    <mergeCell ref="L14:M14"/>
    <mergeCell ref="N14:O15"/>
    <mergeCell ref="P14:P15"/>
    <mergeCell ref="C15:D15"/>
    <mergeCell ref="F15:G15"/>
    <mergeCell ref="I15:J15"/>
  </mergeCells>
  <conditionalFormatting sqref="T7">
    <cfRule type="expression" dxfId="44" priority="13">
      <formula>AND($T$5&gt;=33,$T$5&lt;=40)</formula>
    </cfRule>
  </conditionalFormatting>
  <conditionalFormatting sqref="T8">
    <cfRule type="expression" dxfId="43" priority="14">
      <formula>AND($T$5&gt;=24,$T$5&lt;=32)</formula>
    </cfRule>
  </conditionalFormatting>
  <conditionalFormatting sqref="T9">
    <cfRule type="expression" dxfId="42" priority="12">
      <formula>AND($T$5&gt;=16,$T$5&lt;=23)</formula>
    </cfRule>
  </conditionalFormatting>
  <conditionalFormatting sqref="T10">
    <cfRule type="expression" dxfId="41" priority="11">
      <formula>AND($T$5&gt;=8,$T$5&lt;=15)</formula>
    </cfRule>
  </conditionalFormatting>
  <conditionalFormatting sqref="V5:X5">
    <cfRule type="containsText" dxfId="40" priority="1" operator="containsText" text="High">
      <formula>NOT(ISERROR(SEARCH("High",V5)))</formula>
    </cfRule>
    <cfRule type="containsText" dxfId="39" priority="2" operator="containsText" text="Probable">
      <formula>NOT(ISERROR(SEARCH("Probable",V5)))</formula>
    </cfRule>
    <cfRule type="containsText" dxfId="38" priority="3" operator="containsText" text="Uncertain">
      <formula>NOT(ISERROR(SEARCH("Uncertain",V5)))</formula>
    </cfRule>
    <cfRule type="containsText" dxfId="37" priority="4" operator="containsText" text="Remote">
      <formula>NOT(ISERROR(SEARCH("Remote",V5)))</formula>
    </cfRule>
    <cfRule type="containsText" dxfId="36" priority="5" operator="containsText" text="Improbable">
      <formula>NOT(ISERROR(SEARCH("Improbable",V5)))</formula>
    </cfRule>
  </conditionalFormatting>
  <conditionalFormatting sqref="X6">
    <cfRule type="expression" dxfId="35" priority="10">
      <formula>AND($T$5&gt;=34,$T$5&lt;=40)</formula>
    </cfRule>
  </conditionalFormatting>
  <conditionalFormatting sqref="X7">
    <cfRule type="expression" dxfId="34" priority="9">
      <formula>AND($T$5&gt;=28,$T$5&lt;=33)</formula>
    </cfRule>
  </conditionalFormatting>
  <conditionalFormatting sqref="X8">
    <cfRule type="expression" dxfId="33" priority="8">
      <formula>AND($T$5&gt;=21,$T$5&lt;=27)</formula>
    </cfRule>
  </conditionalFormatting>
  <conditionalFormatting sqref="X9">
    <cfRule type="expression" dxfId="32" priority="7">
      <formula>AND($T$5&gt;=15,$T$5&lt;=20)</formula>
    </cfRule>
  </conditionalFormatting>
  <conditionalFormatting sqref="X10">
    <cfRule type="expression" dxfId="31" priority="6">
      <formula>AND($T$5&gt;=8,$T$5&lt;=14)</formula>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FB2F2-F994-4173-B2C2-4808FE4B79F3}">
  <sheetPr codeName="Sheet3"/>
  <dimension ref="A1:Y34"/>
  <sheetViews>
    <sheetView zoomScale="50" zoomScaleNormal="50" workbookViewId="0">
      <selection activeCell="D14" sqref="D14"/>
    </sheetView>
  </sheetViews>
  <sheetFormatPr defaultColWidth="0" defaultRowHeight="18.3" zeroHeight="1" x14ac:dyDescent="0.7"/>
  <cols>
    <col min="1" max="1" width="8.83984375" style="28" customWidth="1"/>
    <col min="2" max="2" width="20.41796875" style="28" customWidth="1"/>
    <col min="3" max="3" width="14.578125" style="28" customWidth="1"/>
    <col min="4" max="4" width="81.41796875" style="28" customWidth="1"/>
    <col min="5" max="5" width="30.26171875" style="28" customWidth="1"/>
    <col min="6" max="6" width="24.83984375" style="28" customWidth="1"/>
    <col min="7" max="7" width="10.83984375" style="28" bestFit="1" customWidth="1"/>
    <col min="8" max="8" width="10.83984375" style="28" customWidth="1"/>
    <col min="9" max="9" width="34.41796875" style="28" bestFit="1" customWidth="1"/>
    <col min="10" max="10" width="35.15625" style="28" customWidth="1"/>
    <col min="11" max="11" width="91.83984375" style="28" customWidth="1"/>
    <col min="12" max="13" width="8.83984375" style="28" customWidth="1"/>
    <col min="14" max="19" width="8.83984375" hidden="1" customWidth="1"/>
    <col min="20" max="25" width="0" style="4" hidden="1" customWidth="1"/>
    <col min="26" max="16384" width="9.15625" style="4" hidden="1"/>
  </cols>
  <sheetData>
    <row r="1" spans="2:13" ht="10.5" customHeight="1" x14ac:dyDescent="0.7"/>
    <row r="2" spans="2:13" x14ac:dyDescent="0.7">
      <c r="B2" s="181" t="s">
        <v>223</v>
      </c>
      <c r="C2" s="181"/>
      <c r="D2" s="181"/>
      <c r="E2" s="181"/>
      <c r="F2" s="181"/>
      <c r="G2" s="181"/>
      <c r="I2" s="32"/>
    </row>
    <row r="3" spans="2:13" x14ac:dyDescent="0.7">
      <c r="B3" s="216" t="s">
        <v>236</v>
      </c>
      <c r="C3" s="216"/>
      <c r="D3" s="216"/>
      <c r="E3" s="97"/>
      <c r="F3" s="97"/>
      <c r="G3" s="97"/>
      <c r="I3" s="32"/>
    </row>
    <row r="4" spans="2:13" x14ac:dyDescent="0.7">
      <c r="B4" s="217" t="s">
        <v>235</v>
      </c>
      <c r="C4" s="217"/>
      <c r="D4" s="217"/>
      <c r="E4" s="106"/>
      <c r="F4" s="106"/>
      <c r="G4" s="106"/>
      <c r="I4" s="32"/>
    </row>
    <row r="5" spans="2:13" x14ac:dyDescent="0.7">
      <c r="B5" s="216" t="s">
        <v>237</v>
      </c>
      <c r="C5" s="216"/>
      <c r="D5" s="216"/>
      <c r="E5" s="106"/>
      <c r="F5" s="106"/>
      <c r="G5" s="106"/>
      <c r="I5" s="32"/>
    </row>
    <row r="6" spans="2:13" ht="18.600000000000001" thickBot="1" x14ac:dyDescent="0.75">
      <c r="B6" s="30"/>
      <c r="C6" s="30"/>
      <c r="D6" s="7"/>
      <c r="E6" s="36" t="s">
        <v>102</v>
      </c>
      <c r="F6" s="31"/>
      <c r="G6" s="30"/>
      <c r="I6" s="31"/>
      <c r="J6" s="37"/>
      <c r="K6" s="38"/>
      <c r="L6" s="39"/>
    </row>
    <row r="7" spans="2:13" ht="34.5" customHeight="1" thickBot="1" x14ac:dyDescent="0.75">
      <c r="B7" s="47" t="s">
        <v>93</v>
      </c>
      <c r="C7" s="48" t="s">
        <v>110</v>
      </c>
      <c r="D7" s="6" t="s">
        <v>94</v>
      </c>
      <c r="E7" s="48" t="s">
        <v>97</v>
      </c>
      <c r="F7" s="151" t="s">
        <v>95</v>
      </c>
      <c r="G7" s="48" t="s">
        <v>96</v>
      </c>
      <c r="I7" s="218" t="s">
        <v>101</v>
      </c>
      <c r="J7" s="219"/>
      <c r="K7" s="220"/>
      <c r="L7" s="39"/>
    </row>
    <row r="8" spans="2:13" ht="36.9" thickBot="1" x14ac:dyDescent="0.75">
      <c r="B8" s="231" t="s">
        <v>106</v>
      </c>
      <c r="C8" s="121" t="s">
        <v>257</v>
      </c>
      <c r="D8" s="53" t="s">
        <v>315</v>
      </c>
      <c r="E8" s="162" t="s">
        <v>99</v>
      </c>
      <c r="F8" s="152">
        <v>4</v>
      </c>
      <c r="G8" s="52">
        <f>IF(E8="Fully Compliant", F8*1, IF(E8="Partially Compliant", F8*2, IF(E8="Non-Compliant", F8*3, 0)))</f>
        <v>4</v>
      </c>
      <c r="I8" s="107" t="s">
        <v>99</v>
      </c>
      <c r="J8" s="221" t="s">
        <v>200</v>
      </c>
      <c r="K8" s="222"/>
      <c r="L8" s="39"/>
    </row>
    <row r="9" spans="2:13" ht="36.9" thickBot="1" x14ac:dyDescent="0.75">
      <c r="B9" s="232"/>
      <c r="C9" s="59" t="s">
        <v>258</v>
      </c>
      <c r="D9" s="58" t="s">
        <v>64</v>
      </c>
      <c r="E9" s="163" t="s">
        <v>99</v>
      </c>
      <c r="F9" s="153">
        <v>4</v>
      </c>
      <c r="G9" s="57">
        <f t="shared" ref="G9:G22" si="0">IF(E9="Fully Compliant", F9*1, IF(E9="Partially Compliant", F9*2, IF(E9="Non-Compliant", F9*3, 0)))</f>
        <v>4</v>
      </c>
      <c r="I9" s="108" t="s">
        <v>98</v>
      </c>
      <c r="J9" s="223" t="s">
        <v>201</v>
      </c>
      <c r="K9" s="224"/>
      <c r="L9" s="39"/>
    </row>
    <row r="10" spans="2:13" ht="55.2" thickBot="1" x14ac:dyDescent="0.75">
      <c r="B10" s="232"/>
      <c r="C10" s="59" t="s">
        <v>259</v>
      </c>
      <c r="D10" s="58" t="s">
        <v>74</v>
      </c>
      <c r="E10" s="163" t="s">
        <v>99</v>
      </c>
      <c r="F10" s="153">
        <v>3</v>
      </c>
      <c r="G10" s="57">
        <f t="shared" si="0"/>
        <v>3</v>
      </c>
      <c r="I10" s="107" t="s">
        <v>133</v>
      </c>
      <c r="J10" s="221" t="s">
        <v>202</v>
      </c>
      <c r="K10" s="222"/>
      <c r="L10" s="39"/>
    </row>
    <row r="11" spans="2:13" ht="36.9" thickBot="1" x14ac:dyDescent="0.75">
      <c r="B11" s="232"/>
      <c r="C11" s="122" t="s">
        <v>260</v>
      </c>
      <c r="D11" s="58" t="s">
        <v>65</v>
      </c>
      <c r="E11" s="163" t="s">
        <v>100</v>
      </c>
      <c r="F11" s="153">
        <v>2</v>
      </c>
      <c r="G11" s="57">
        <f t="shared" si="0"/>
        <v>0</v>
      </c>
      <c r="I11" s="109" t="s">
        <v>100</v>
      </c>
      <c r="J11" s="225" t="s">
        <v>203</v>
      </c>
      <c r="K11" s="226"/>
    </row>
    <row r="12" spans="2:13" ht="36.9" thickBot="1" x14ac:dyDescent="0.75">
      <c r="B12" s="232"/>
      <c r="C12" s="59" t="s">
        <v>261</v>
      </c>
      <c r="D12" s="58" t="s">
        <v>66</v>
      </c>
      <c r="E12" s="163" t="s">
        <v>99</v>
      </c>
      <c r="F12" s="153">
        <v>2</v>
      </c>
      <c r="G12" s="57">
        <f t="shared" si="0"/>
        <v>2</v>
      </c>
      <c r="L12" s="7"/>
      <c r="M12" s="7"/>
    </row>
    <row r="13" spans="2:13" ht="36.9" thickBot="1" x14ac:dyDescent="0.75">
      <c r="B13" s="233"/>
      <c r="C13" s="67" t="s">
        <v>262</v>
      </c>
      <c r="D13" s="66" t="s">
        <v>67</v>
      </c>
      <c r="E13" s="164" t="s">
        <v>99</v>
      </c>
      <c r="F13" s="154">
        <v>2</v>
      </c>
      <c r="G13" s="65">
        <f t="shared" si="0"/>
        <v>2</v>
      </c>
      <c r="I13" s="40" t="s">
        <v>204</v>
      </c>
      <c r="J13" s="120" t="s">
        <v>234</v>
      </c>
      <c r="K13" s="110" t="s">
        <v>205</v>
      </c>
      <c r="L13" s="7"/>
      <c r="M13" s="7"/>
    </row>
    <row r="14" spans="2:13" ht="36.6" x14ac:dyDescent="0.7">
      <c r="B14" s="234" t="s">
        <v>105</v>
      </c>
      <c r="C14" s="150" t="s">
        <v>263</v>
      </c>
      <c r="D14" s="129" t="s">
        <v>71</v>
      </c>
      <c r="E14" s="165" t="s">
        <v>99</v>
      </c>
      <c r="F14" s="155">
        <v>4</v>
      </c>
      <c r="G14" s="128">
        <f t="shared" si="0"/>
        <v>4</v>
      </c>
      <c r="I14" s="148" t="s">
        <v>85</v>
      </c>
      <c r="J14" s="157" t="s">
        <v>117</v>
      </c>
      <c r="K14" s="149" t="s">
        <v>206</v>
      </c>
      <c r="L14" s="103"/>
    </row>
    <row r="15" spans="2:13" ht="36.6" x14ac:dyDescent="0.7">
      <c r="B15" s="234"/>
      <c r="C15" s="59" t="s">
        <v>264</v>
      </c>
      <c r="D15" s="58" t="s">
        <v>63</v>
      </c>
      <c r="E15" s="163" t="s">
        <v>99</v>
      </c>
      <c r="F15" s="153">
        <v>4</v>
      </c>
      <c r="G15" s="57">
        <f t="shared" si="0"/>
        <v>4</v>
      </c>
      <c r="I15" s="144" t="s">
        <v>84</v>
      </c>
      <c r="J15" s="158" t="s">
        <v>113</v>
      </c>
      <c r="K15" s="146" t="s">
        <v>207</v>
      </c>
    </row>
    <row r="16" spans="2:13" ht="36.6" x14ac:dyDescent="0.7">
      <c r="B16" s="234"/>
      <c r="C16" s="59" t="s">
        <v>265</v>
      </c>
      <c r="D16" s="58" t="s">
        <v>62</v>
      </c>
      <c r="E16" s="163" t="s">
        <v>99</v>
      </c>
      <c r="F16" s="153">
        <v>1</v>
      </c>
      <c r="G16" s="57">
        <f t="shared" si="0"/>
        <v>1</v>
      </c>
      <c r="I16" s="144" t="s">
        <v>83</v>
      </c>
      <c r="J16" s="158" t="s">
        <v>114</v>
      </c>
      <c r="K16" s="146" t="s">
        <v>208</v>
      </c>
    </row>
    <row r="17" spans="2:13" ht="36.6" x14ac:dyDescent="0.7">
      <c r="B17" s="234"/>
      <c r="C17" s="122" t="s">
        <v>266</v>
      </c>
      <c r="D17" s="58" t="s">
        <v>73</v>
      </c>
      <c r="E17" s="163" t="s">
        <v>99</v>
      </c>
      <c r="F17" s="153">
        <v>2</v>
      </c>
      <c r="G17" s="57">
        <f t="shared" si="0"/>
        <v>2</v>
      </c>
      <c r="I17" s="144" t="s">
        <v>82</v>
      </c>
      <c r="J17" s="158" t="s">
        <v>115</v>
      </c>
      <c r="K17" s="146" t="s">
        <v>209</v>
      </c>
    </row>
    <row r="18" spans="2:13" ht="55.2" thickBot="1" x14ac:dyDescent="0.75">
      <c r="B18" s="234"/>
      <c r="C18" s="64" t="s">
        <v>267</v>
      </c>
      <c r="D18" s="63" t="s">
        <v>76</v>
      </c>
      <c r="E18" s="166" t="s">
        <v>100</v>
      </c>
      <c r="F18" s="156">
        <v>4</v>
      </c>
      <c r="G18" s="62">
        <f t="shared" si="0"/>
        <v>0</v>
      </c>
      <c r="I18" s="145" t="s">
        <v>81</v>
      </c>
      <c r="J18" s="159" t="s">
        <v>116</v>
      </c>
      <c r="K18" s="147" t="s">
        <v>210</v>
      </c>
    </row>
    <row r="19" spans="2:13" ht="36.9" thickBot="1" x14ac:dyDescent="0.75">
      <c r="B19" s="231" t="s">
        <v>107</v>
      </c>
      <c r="C19" s="54" t="s">
        <v>268</v>
      </c>
      <c r="D19" s="53" t="s">
        <v>72</v>
      </c>
      <c r="E19" s="162" t="s">
        <v>99</v>
      </c>
      <c r="F19" s="152">
        <v>2</v>
      </c>
      <c r="G19" s="52">
        <f t="shared" si="0"/>
        <v>2</v>
      </c>
      <c r="I19" s="111" t="s">
        <v>211</v>
      </c>
      <c r="J19" s="112" t="s">
        <v>212</v>
      </c>
      <c r="K19" s="113"/>
    </row>
    <row r="20" spans="2:13" ht="36.9" thickBot="1" x14ac:dyDescent="0.75">
      <c r="B20" s="234"/>
      <c r="C20" s="122" t="s">
        <v>269</v>
      </c>
      <c r="D20" s="58" t="s">
        <v>112</v>
      </c>
      <c r="E20" s="163" t="s">
        <v>100</v>
      </c>
      <c r="F20" s="153">
        <v>4</v>
      </c>
      <c r="G20" s="57">
        <f t="shared" si="0"/>
        <v>0</v>
      </c>
      <c r="I20" s="111" t="s">
        <v>213</v>
      </c>
      <c r="J20" s="112" t="s">
        <v>214</v>
      </c>
      <c r="K20" s="113"/>
    </row>
    <row r="21" spans="2:13" ht="55.2" thickBot="1" x14ac:dyDescent="0.75">
      <c r="B21" s="235"/>
      <c r="C21" s="67" t="s">
        <v>270</v>
      </c>
      <c r="D21" s="66" t="s">
        <v>77</v>
      </c>
      <c r="E21" s="164" t="s">
        <v>99</v>
      </c>
      <c r="F21" s="154">
        <v>1</v>
      </c>
      <c r="G21" s="65">
        <f t="shared" si="0"/>
        <v>1</v>
      </c>
      <c r="L21" s="7"/>
      <c r="M21" s="7"/>
    </row>
    <row r="22" spans="2:13" ht="36.9" thickBot="1" x14ac:dyDescent="0.75">
      <c r="B22" s="234" t="s">
        <v>108</v>
      </c>
      <c r="C22" s="130" t="s">
        <v>271</v>
      </c>
      <c r="D22" s="129" t="s">
        <v>68</v>
      </c>
      <c r="E22" s="165" t="s">
        <v>100</v>
      </c>
      <c r="F22" s="155">
        <v>3</v>
      </c>
      <c r="G22" s="128">
        <f t="shared" si="0"/>
        <v>0</v>
      </c>
      <c r="I22" s="40" t="s">
        <v>199</v>
      </c>
      <c r="J22" s="120" t="s">
        <v>215</v>
      </c>
      <c r="K22" s="40" t="s">
        <v>216</v>
      </c>
      <c r="L22" s="7"/>
      <c r="M22" s="7"/>
    </row>
    <row r="23" spans="2:13" ht="50.25" customHeight="1" x14ac:dyDescent="0.7">
      <c r="B23" s="234"/>
      <c r="C23" s="122" t="s">
        <v>272</v>
      </c>
      <c r="D23" s="58" t="s">
        <v>69</v>
      </c>
      <c r="E23" s="163" t="s">
        <v>100</v>
      </c>
      <c r="F23" s="153">
        <v>3</v>
      </c>
      <c r="G23" s="57">
        <f t="shared" ref="G23:G28" si="1">IF(E23="Fully Compliant", F23*1, IF(E23="Partially Compliant", F23*2, IF(E23="Non-Compliant", F23*3, 0)))</f>
        <v>0</v>
      </c>
      <c r="I23" s="135">
        <v>1</v>
      </c>
      <c r="J23" s="138" t="s">
        <v>217</v>
      </c>
      <c r="K23" s="141" t="s">
        <v>218</v>
      </c>
      <c r="L23" s="7"/>
      <c r="M23" s="7"/>
    </row>
    <row r="24" spans="2:13" ht="66" customHeight="1" x14ac:dyDescent="0.7">
      <c r="B24" s="234"/>
      <c r="C24" s="59" t="s">
        <v>273</v>
      </c>
      <c r="D24" s="58" t="s">
        <v>70</v>
      </c>
      <c r="E24" s="163" t="s">
        <v>100</v>
      </c>
      <c r="F24" s="153">
        <v>4</v>
      </c>
      <c r="G24" s="57">
        <f t="shared" si="1"/>
        <v>0</v>
      </c>
      <c r="I24" s="136">
        <v>2</v>
      </c>
      <c r="J24" s="139" t="s">
        <v>219</v>
      </c>
      <c r="K24" s="142" t="s">
        <v>314</v>
      </c>
      <c r="L24" s="7"/>
      <c r="M24" s="7"/>
    </row>
    <row r="25" spans="2:13" ht="56.25" customHeight="1" x14ac:dyDescent="0.7">
      <c r="B25" s="234"/>
      <c r="C25" s="59" t="s">
        <v>274</v>
      </c>
      <c r="D25" s="58" t="s">
        <v>61</v>
      </c>
      <c r="E25" s="163" t="s">
        <v>100</v>
      </c>
      <c r="F25" s="153">
        <v>4</v>
      </c>
      <c r="G25" s="57">
        <f t="shared" si="1"/>
        <v>0</v>
      </c>
      <c r="I25" s="136">
        <v>3</v>
      </c>
      <c r="J25" s="139" t="s">
        <v>220</v>
      </c>
      <c r="K25" s="142" t="s">
        <v>221</v>
      </c>
      <c r="L25" s="7"/>
      <c r="M25" s="7"/>
    </row>
    <row r="26" spans="2:13" ht="64.5" customHeight="1" thickBot="1" x14ac:dyDescent="0.75">
      <c r="B26" s="234"/>
      <c r="C26" s="123" t="s">
        <v>275</v>
      </c>
      <c r="D26" s="63" t="s">
        <v>75</v>
      </c>
      <c r="E26" s="166" t="s">
        <v>100</v>
      </c>
      <c r="F26" s="156">
        <v>2</v>
      </c>
      <c r="G26" s="62">
        <f t="shared" si="1"/>
        <v>0</v>
      </c>
      <c r="I26" s="137">
        <v>4</v>
      </c>
      <c r="J26" s="140" t="s">
        <v>87</v>
      </c>
      <c r="K26" s="143" t="s">
        <v>222</v>
      </c>
    </row>
    <row r="27" spans="2:13" ht="36.6" x14ac:dyDescent="0.7">
      <c r="B27" s="231" t="s">
        <v>78</v>
      </c>
      <c r="C27" s="54" t="s">
        <v>276</v>
      </c>
      <c r="D27" s="53" t="s">
        <v>79</v>
      </c>
      <c r="E27" s="162" t="s">
        <v>100</v>
      </c>
      <c r="F27" s="152">
        <v>1</v>
      </c>
      <c r="G27" s="52">
        <f t="shared" si="1"/>
        <v>0</v>
      </c>
    </row>
    <row r="28" spans="2:13" ht="55.2" thickBot="1" x14ac:dyDescent="0.75">
      <c r="B28" s="235"/>
      <c r="C28" s="67" t="s">
        <v>277</v>
      </c>
      <c r="D28" s="66" t="s">
        <v>80</v>
      </c>
      <c r="E28" s="164" t="s">
        <v>100</v>
      </c>
      <c r="F28" s="154">
        <v>2</v>
      </c>
      <c r="G28" s="65">
        <f t="shared" si="1"/>
        <v>0</v>
      </c>
    </row>
    <row r="29" spans="2:13" ht="18.600000000000001" thickBot="1" x14ac:dyDescent="0.75">
      <c r="D29" s="29"/>
      <c r="E29" s="229" t="s">
        <v>109</v>
      </c>
      <c r="F29" s="230"/>
      <c r="G29" s="42">
        <f>SUM(G8:G28)</f>
        <v>29</v>
      </c>
    </row>
    <row r="30" spans="2:13" ht="18.600000000000001" thickBot="1" x14ac:dyDescent="0.75">
      <c r="D30" s="29"/>
      <c r="E30" s="43" t="s">
        <v>111</v>
      </c>
      <c r="F30" s="227" t="str">
        <f>_xlfn.LET(
    _xlpm.actualScore, SUM(G8:G28),
    _xlpm.maxScore, SUMIF(E8:E28, "&lt;&gt;N/A", F8:F28) * 3,
    _xlpm.ratio, IF(_xlpm.maxScore=0, 0, _xlpm.actualScore / _xlpm.maxScore),
    _xlpm.weight4FailCount, COUNTIFS(F8:F28, 4, E8:E28, "Non-Compliant"),
    IF(_xlpm.weight4FailCount &gt;= 3, "High",
    IF(_xlpm.weight4FailCount &gt;= 1,
        IF(_xlpm.ratio &gt; 0.78, "High", "Probable"),
        IF(_xlpm.ratio &lt;= 0.44, "Improbable",
        IF(_xlpm.ratio &lt;= 0.55, "Remote",
        IF(_xlpm.ratio &lt;= 0.66, "Uncertain",
        IF(_xlpm.ratio &lt;= 0.78, "Probable",
        "High"))))
    ))
)</f>
        <v>Improbable</v>
      </c>
      <c r="G30" s="228"/>
    </row>
    <row r="32" spans="2:13" x14ac:dyDescent="0.7">
      <c r="E32" s="34"/>
    </row>
    <row r="33" spans="2:2" x14ac:dyDescent="0.7">
      <c r="B33" s="30"/>
    </row>
    <row r="34" spans="2:2" x14ac:dyDescent="0.7"/>
  </sheetData>
  <sheetProtection sheet="1" objects="1" scenarios="1"/>
  <mergeCells count="16">
    <mergeCell ref="B8:B13"/>
    <mergeCell ref="B14:B18"/>
    <mergeCell ref="B19:B21"/>
    <mergeCell ref="B22:B26"/>
    <mergeCell ref="B27:B28"/>
    <mergeCell ref="J8:K8"/>
    <mergeCell ref="J9:K9"/>
    <mergeCell ref="J10:K10"/>
    <mergeCell ref="J11:K11"/>
    <mergeCell ref="F30:G30"/>
    <mergeCell ref="E29:F29"/>
    <mergeCell ref="B2:G2"/>
    <mergeCell ref="B5:D5"/>
    <mergeCell ref="B3:D3"/>
    <mergeCell ref="B4:D4"/>
    <mergeCell ref="I7:K7"/>
  </mergeCells>
  <phoneticPr fontId="24" type="noConversion"/>
  <conditionalFormatting sqref="E8:E28">
    <cfRule type="containsText" dxfId="30" priority="6" operator="containsText" text="N/A">
      <formula>NOT(ISERROR(SEARCH("N/A",E8)))</formula>
    </cfRule>
    <cfRule type="containsText" dxfId="29" priority="7" operator="containsText" text="Non-Compliant">
      <formula>NOT(ISERROR(SEARCH("Non-Compliant",E8)))</formula>
    </cfRule>
    <cfRule type="containsText" dxfId="28" priority="8" operator="containsText" text="Partially Compliant">
      <formula>NOT(ISERROR(SEARCH("Partially Compliant",E8)))</formula>
    </cfRule>
    <cfRule type="containsText" dxfId="27" priority="9" operator="containsText" text="Fully Compliant">
      <formula>NOT(ISERROR(SEARCH("Fully Compliant",E8)))</formula>
    </cfRule>
  </conditionalFormatting>
  <conditionalFormatting sqref="F30:G30">
    <cfRule type="containsText" dxfId="26" priority="1" operator="containsText" text="Improbable">
      <formula>NOT(ISERROR(SEARCH("Improbable",F30)))</formula>
    </cfRule>
    <cfRule type="containsText" dxfId="25" priority="2" operator="containsText" text="Remote">
      <formula>NOT(ISERROR(SEARCH("Remote",F30)))</formula>
    </cfRule>
    <cfRule type="containsText" dxfId="24" priority="3" operator="containsText" text="Uncertain">
      <formula>NOT(ISERROR(SEARCH("Uncertain",F30)))</formula>
    </cfRule>
    <cfRule type="containsText" dxfId="23" priority="4" operator="containsText" text="High">
      <formula>NOT(ISERROR(SEARCH("High",F30)))</formula>
    </cfRule>
    <cfRule type="containsText" dxfId="22" priority="5" operator="containsText" text="Probable">
      <formula>NOT(ISERROR(SEARCH("Probable",F30)))</formula>
    </cfRule>
  </conditionalFormatting>
  <dataValidations disablePrompts="1" count="2">
    <dataValidation type="list" allowBlank="1" showInputMessage="1" showErrorMessage="1" errorTitle="Invalid Entry" error="Please select an approved evaluation tier from the drop-down list. Custom entries are not permitted to ensure framework scoring integrity." sqref="E22:E28 E20 E18 E11" xr:uid="{0EFDCE6D-5509-4893-92C9-3B9CC99106F3}">
      <formula1>"Fully Compliant, Partially Compliant, Non-Compliant, N/A, "</formula1>
    </dataValidation>
    <dataValidation type="list" allowBlank="1" showInputMessage="1" showErrorMessage="1" errorTitle="Invalid Entry" error="Please select an approved evaluation tier from the drop-down list. Custom entries are not permitted to ensure framework scoring integrity." sqref="E8:E10 E12:E17 E19 E21" xr:uid="{BADE41B9-F21A-4A59-A77B-03F0416E9650}">
      <formula1>"Fully Compliant, Partially Compliant, Non-Compliant,"</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D63885-36F7-4A70-BDB9-36BC0782C458}">
  <dimension ref="A1:O26"/>
  <sheetViews>
    <sheetView zoomScale="60" zoomScaleNormal="60" workbookViewId="0"/>
  </sheetViews>
  <sheetFormatPr defaultColWidth="0" defaultRowHeight="14.4" zeroHeight="1" x14ac:dyDescent="0.55000000000000004"/>
  <cols>
    <col min="1" max="1" width="9.15625" customWidth="1"/>
    <col min="2" max="2" width="14.26171875" customWidth="1"/>
    <col min="3" max="3" width="10.68359375" customWidth="1"/>
    <col min="4" max="4" width="29.83984375" customWidth="1"/>
    <col min="5" max="5" width="95.26171875" customWidth="1"/>
    <col min="6" max="6" width="17.41796875" customWidth="1"/>
    <col min="7" max="7" width="23" customWidth="1"/>
    <col min="8" max="8" width="14.578125" customWidth="1"/>
    <col min="9" max="9" width="9.15625" customWidth="1"/>
    <col min="10" max="10" width="6.68359375" customWidth="1"/>
    <col min="11" max="11" width="29.68359375" bestFit="1" customWidth="1"/>
    <col min="12" max="12" width="22.15625" bestFit="1" customWidth="1"/>
    <col min="13" max="13" width="76.578125" customWidth="1"/>
    <col min="14" max="14" width="21.41796875" customWidth="1"/>
    <col min="15" max="16384" width="9.15625" hidden="1"/>
  </cols>
  <sheetData>
    <row r="1" spans="1:15" ht="18.600000000000001" thickBot="1" x14ac:dyDescent="0.6">
      <c r="A1" s="2"/>
      <c r="B1" s="240"/>
      <c r="C1" s="240"/>
      <c r="D1" s="240"/>
      <c r="E1" s="240"/>
      <c r="F1" s="106"/>
      <c r="G1" s="30"/>
      <c r="H1" s="31"/>
      <c r="I1" s="30"/>
      <c r="J1" s="2"/>
      <c r="K1" s="2"/>
      <c r="L1" s="2"/>
      <c r="M1" s="2"/>
      <c r="N1" s="2"/>
    </row>
    <row r="2" spans="1:15" ht="24.75" customHeight="1" thickBot="1" x14ac:dyDescent="0.6">
      <c r="A2" s="2"/>
      <c r="B2" s="181" t="s">
        <v>223</v>
      </c>
      <c r="C2" s="181"/>
      <c r="D2" s="181"/>
      <c r="E2" s="181"/>
      <c r="F2" s="181"/>
      <c r="G2" s="181"/>
      <c r="H2" s="181"/>
      <c r="I2" s="181"/>
      <c r="J2" s="2"/>
      <c r="K2" s="218" t="s">
        <v>101</v>
      </c>
      <c r="L2" s="219"/>
      <c r="M2" s="220"/>
      <c r="N2" s="2"/>
    </row>
    <row r="3" spans="1:15" ht="18.600000000000001" thickBot="1" x14ac:dyDescent="0.6">
      <c r="A3" s="2"/>
      <c r="B3" s="216" t="s">
        <v>236</v>
      </c>
      <c r="C3" s="216"/>
      <c r="D3" s="216"/>
      <c r="E3" s="216"/>
      <c r="F3" s="96"/>
      <c r="G3" s="97"/>
      <c r="H3" s="97"/>
      <c r="I3" s="97"/>
      <c r="J3" s="2"/>
      <c r="K3" s="107" t="s">
        <v>99</v>
      </c>
      <c r="L3" s="221" t="s">
        <v>242</v>
      </c>
      <c r="M3" s="222"/>
      <c r="N3" s="2"/>
    </row>
    <row r="4" spans="1:15" ht="18.600000000000001" thickBot="1" x14ac:dyDescent="0.6">
      <c r="A4" s="2"/>
      <c r="B4" s="217" t="s">
        <v>235</v>
      </c>
      <c r="C4" s="217"/>
      <c r="D4" s="217"/>
      <c r="E4" s="217"/>
      <c r="F4" s="35"/>
      <c r="G4" s="106"/>
      <c r="H4" s="106"/>
      <c r="I4" s="106"/>
      <c r="J4" s="2"/>
      <c r="K4" s="108" t="s">
        <v>98</v>
      </c>
      <c r="L4" s="223" t="s">
        <v>243</v>
      </c>
      <c r="M4" s="224"/>
      <c r="N4" s="2"/>
    </row>
    <row r="5" spans="1:15" ht="18.600000000000001" thickBot="1" x14ac:dyDescent="0.6">
      <c r="A5" s="2"/>
      <c r="B5" s="216" t="s">
        <v>237</v>
      </c>
      <c r="C5" s="216"/>
      <c r="D5" s="216"/>
      <c r="E5" s="216"/>
      <c r="F5" s="96"/>
      <c r="G5" s="106"/>
      <c r="H5" s="106"/>
      <c r="I5" s="106"/>
      <c r="J5" s="2"/>
      <c r="K5" s="107" t="s">
        <v>133</v>
      </c>
      <c r="L5" s="221" t="s">
        <v>202</v>
      </c>
      <c r="M5" s="222"/>
      <c r="N5" s="2"/>
    </row>
    <row r="6" spans="1:15" ht="18.600000000000001" thickBot="1" x14ac:dyDescent="0.6">
      <c r="A6" s="2"/>
      <c r="B6" s="35"/>
      <c r="C6" s="34"/>
      <c r="D6" s="34"/>
      <c r="E6" s="7"/>
      <c r="F6" s="7"/>
      <c r="G6" s="30"/>
      <c r="H6" s="31"/>
      <c r="I6" s="30"/>
      <c r="J6" s="2"/>
      <c r="K6" s="109" t="s">
        <v>100</v>
      </c>
      <c r="L6" s="225" t="s">
        <v>244</v>
      </c>
      <c r="M6" s="226"/>
      <c r="N6" s="2"/>
    </row>
    <row r="7" spans="1:15" ht="18.600000000000001" thickBot="1" x14ac:dyDescent="0.6">
      <c r="A7" s="2"/>
      <c r="B7" s="30"/>
      <c r="C7" s="30"/>
      <c r="D7" s="30"/>
      <c r="E7" s="7"/>
      <c r="F7" s="7"/>
      <c r="G7" s="36" t="s">
        <v>102</v>
      </c>
      <c r="H7" s="31"/>
      <c r="I7" s="30"/>
      <c r="J7" s="2"/>
      <c r="K7" s="2"/>
      <c r="L7" s="2"/>
      <c r="M7" s="2"/>
      <c r="N7" s="2"/>
    </row>
    <row r="8" spans="1:15" ht="19.5" customHeight="1" thickBot="1" x14ac:dyDescent="0.6">
      <c r="A8" s="2"/>
      <c r="B8" s="47" t="s">
        <v>93</v>
      </c>
      <c r="C8" s="48" t="s">
        <v>110</v>
      </c>
      <c r="D8" s="208" t="s">
        <v>94</v>
      </c>
      <c r="E8" s="208"/>
      <c r="F8" s="208"/>
      <c r="G8" s="48" t="s">
        <v>97</v>
      </c>
      <c r="H8" s="48" t="s">
        <v>95</v>
      </c>
      <c r="I8" s="49" t="s">
        <v>96</v>
      </c>
      <c r="J8" s="2"/>
      <c r="K8" s="104" t="s">
        <v>183</v>
      </c>
      <c r="L8" s="105" t="s">
        <v>179</v>
      </c>
      <c r="M8" s="105" t="s">
        <v>205</v>
      </c>
      <c r="N8" s="2"/>
      <c r="O8" s="2"/>
    </row>
    <row r="9" spans="1:15" ht="55.8" customHeight="1" thickBot="1" x14ac:dyDescent="0.6">
      <c r="A9" s="2"/>
      <c r="B9" s="231" t="s">
        <v>196</v>
      </c>
      <c r="C9" s="54" t="s">
        <v>279</v>
      </c>
      <c r="D9" s="241" t="s">
        <v>178</v>
      </c>
      <c r="E9" s="242"/>
      <c r="F9" s="243"/>
      <c r="G9" s="162" t="s">
        <v>100</v>
      </c>
      <c r="H9" s="55">
        <v>4</v>
      </c>
      <c r="I9" s="56">
        <f>IF(G9="Fully Compliant", H9*1, IF(G9="Partially Compliant", H9*2, IF(G9="Non-Compliant", H9*3, 0)))</f>
        <v>0</v>
      </c>
      <c r="J9" s="2"/>
      <c r="K9" s="174" t="s">
        <v>184</v>
      </c>
      <c r="L9" s="175" t="s">
        <v>85</v>
      </c>
      <c r="M9" s="176" t="s">
        <v>224</v>
      </c>
      <c r="N9" s="2"/>
      <c r="O9" s="2"/>
    </row>
    <row r="10" spans="1:15" ht="48.3" customHeight="1" thickBot="1" x14ac:dyDescent="0.6">
      <c r="A10" s="2"/>
      <c r="B10" s="234"/>
      <c r="C10" s="59" t="s">
        <v>280</v>
      </c>
      <c r="D10" s="244" t="s">
        <v>175</v>
      </c>
      <c r="E10" s="245"/>
      <c r="F10" s="246"/>
      <c r="G10" s="163" t="s">
        <v>100</v>
      </c>
      <c r="H10" s="60">
        <v>3</v>
      </c>
      <c r="I10" s="61">
        <f t="shared" ref="I10:I12" si="0">IF(G10="Fully Compliant", H10*1, IF(G10="Partially Compliant", H10*2, IF(G10="Non-Compliant", H10*3, 0)))</f>
        <v>0</v>
      </c>
      <c r="J10" s="2"/>
      <c r="K10" s="174" t="s">
        <v>185</v>
      </c>
      <c r="L10" s="175" t="s">
        <v>84</v>
      </c>
      <c r="M10" s="175" t="s">
        <v>225</v>
      </c>
      <c r="N10" s="2"/>
      <c r="O10" s="2"/>
    </row>
    <row r="11" spans="1:15" ht="51.3" customHeight="1" thickBot="1" x14ac:dyDescent="0.6">
      <c r="A11" s="2"/>
      <c r="B11" s="234"/>
      <c r="C11" s="59" t="s">
        <v>281</v>
      </c>
      <c r="D11" s="244" t="s">
        <v>176</v>
      </c>
      <c r="E11" s="245"/>
      <c r="F11" s="246"/>
      <c r="G11" s="163" t="s">
        <v>100</v>
      </c>
      <c r="H11" s="60">
        <v>2</v>
      </c>
      <c r="I11" s="61">
        <f t="shared" si="0"/>
        <v>0</v>
      </c>
      <c r="J11" s="2"/>
      <c r="K11" s="174" t="s">
        <v>186</v>
      </c>
      <c r="L11" s="175" t="s">
        <v>83</v>
      </c>
      <c r="M11" s="176" t="s">
        <v>226</v>
      </c>
      <c r="N11" s="2"/>
      <c r="O11" s="2"/>
    </row>
    <row r="12" spans="1:15" ht="45.3" customHeight="1" thickBot="1" x14ac:dyDescent="0.6">
      <c r="A12" s="2"/>
      <c r="B12" s="235"/>
      <c r="C12" s="67" t="s">
        <v>278</v>
      </c>
      <c r="D12" s="247" t="s">
        <v>177</v>
      </c>
      <c r="E12" s="248"/>
      <c r="F12" s="249"/>
      <c r="G12" s="164" t="s">
        <v>100</v>
      </c>
      <c r="H12" s="68">
        <v>3</v>
      </c>
      <c r="I12" s="69">
        <f t="shared" si="0"/>
        <v>0</v>
      </c>
      <c r="J12" s="2"/>
      <c r="K12" s="174" t="s">
        <v>187</v>
      </c>
      <c r="L12" s="175" t="s">
        <v>82</v>
      </c>
      <c r="M12" s="175" t="s">
        <v>227</v>
      </c>
      <c r="N12" s="2"/>
      <c r="O12" s="2"/>
    </row>
    <row r="13" spans="1:15" ht="33.6" customHeight="1" thickBot="1" x14ac:dyDescent="0.6">
      <c r="A13" s="2"/>
      <c r="B13" s="116"/>
      <c r="C13" s="36"/>
      <c r="D13" s="3"/>
      <c r="E13" s="3"/>
      <c r="F13" s="3"/>
      <c r="G13" s="238" t="s">
        <v>109</v>
      </c>
      <c r="H13" s="239"/>
      <c r="I13" s="42">
        <f>SUM(I9:I12)</f>
        <v>0</v>
      </c>
      <c r="J13" s="2"/>
      <c r="K13" s="174" t="s">
        <v>188</v>
      </c>
      <c r="L13" s="175" t="s">
        <v>81</v>
      </c>
      <c r="M13" s="177" t="s">
        <v>228</v>
      </c>
      <c r="N13" s="2"/>
      <c r="O13" s="2"/>
    </row>
    <row r="14" spans="1:15" ht="36.75" customHeight="1" thickBot="1" x14ac:dyDescent="0.6">
      <c r="A14" s="2"/>
      <c r="B14" s="97"/>
      <c r="C14" s="40" t="s">
        <v>199</v>
      </c>
      <c r="D14" s="120" t="s">
        <v>215</v>
      </c>
      <c r="E14" s="40" t="s">
        <v>216</v>
      </c>
      <c r="F14" s="95"/>
      <c r="G14" s="43" t="s">
        <v>111</v>
      </c>
      <c r="H14" s="227" t="str">
        <f>_xlfn.LET(
    _xlpm.actualG, SUM(I9:I12),
    _xlpm.sumWeights, SUMIF(G9:G12, "&lt;&gt;N/A", H9:H12),
    _xlpm.minPossible, _xlpm.sumWeights * 1,
    _xlpm.maxPossible, _xlpm.sumWeights * 3,
    _xlpm.riskRatio, IF(_xlpm.maxPossible - _xlpm.minPossible = 0, 0, (_xlpm.actualG - _xlpm.minPossible) / (_xlpm.maxPossible - _xlpm.minPossible)),
    _xlpm.failCount, COUNTIF(G9:G12, "Non-Compliant"),
    _xlpm.id1_Failed, G9 = "Non-Compliant",
    _xlpm.all_NA, _xlpm.sumWeights = 0,
    _xlpm.baseRating, IF(_xlpm.riskRatio &lt;= 0.15, "Improbable",
                IF(_xlpm.riskRatio &lt;= 0.32, "Remote",
                IF(_xlpm.riskRatio &lt;= 0.52, "Uncertain",
                IF(_xlpm.riskRatio &lt;= 0.7, "Probable",
                "High")))),
    IF(_xlpm.all_NA, "N/A",
    IF(_xlpm.id1_Failed, "High",
    IF(_xlpm.failCount &gt;= 3, "High",
    IF(_xlpm.failCount &gt;= 2, IF(_xlpm.riskRatio &lt; 0.52, "Probable", "High"),
    _xlpm.baseRating))))
)</f>
        <v>N/A</v>
      </c>
      <c r="I14" s="228"/>
      <c r="J14" s="2"/>
      <c r="K14" s="236" t="s">
        <v>318</v>
      </c>
      <c r="L14" s="237"/>
      <c r="M14" s="2"/>
      <c r="N14" s="2"/>
      <c r="O14" s="2"/>
    </row>
    <row r="15" spans="1:15" ht="36.75" customHeight="1" thickBot="1" x14ac:dyDescent="0.6">
      <c r="A15" s="2"/>
      <c r="B15" s="2"/>
      <c r="C15" s="135">
        <v>1</v>
      </c>
      <c r="D15" s="138" t="s">
        <v>217</v>
      </c>
      <c r="E15" s="141" t="s">
        <v>218</v>
      </c>
      <c r="F15" s="2"/>
      <c r="G15" s="2"/>
      <c r="H15" s="2"/>
      <c r="I15" s="2"/>
      <c r="J15" s="2"/>
      <c r="K15" s="174" t="s">
        <v>180</v>
      </c>
      <c r="L15" s="175" t="s">
        <v>316</v>
      </c>
      <c r="M15" s="114"/>
      <c r="N15" s="2"/>
    </row>
    <row r="16" spans="1:15" ht="57" customHeight="1" thickBot="1" x14ac:dyDescent="0.6">
      <c r="A16" s="2"/>
      <c r="B16" s="2"/>
      <c r="C16" s="136">
        <v>2</v>
      </c>
      <c r="D16" s="139" t="s">
        <v>219</v>
      </c>
      <c r="E16" s="142" t="s">
        <v>314</v>
      </c>
      <c r="F16" s="2"/>
      <c r="G16" s="2"/>
      <c r="H16" s="2"/>
      <c r="I16" s="2"/>
      <c r="J16" s="2"/>
      <c r="K16" s="174" t="s">
        <v>182</v>
      </c>
      <c r="L16" s="175" t="s">
        <v>316</v>
      </c>
      <c r="M16" s="114"/>
      <c r="N16" s="2"/>
    </row>
    <row r="17" spans="1:14" ht="36.9" thickBot="1" x14ac:dyDescent="0.6">
      <c r="A17" s="2"/>
      <c r="B17" s="2"/>
      <c r="C17" s="136">
        <v>3</v>
      </c>
      <c r="D17" s="139" t="s">
        <v>220</v>
      </c>
      <c r="E17" s="142" t="s">
        <v>221</v>
      </c>
      <c r="F17" s="2"/>
      <c r="G17" s="2"/>
      <c r="H17" s="2"/>
      <c r="I17" s="2"/>
      <c r="J17" s="2"/>
      <c r="K17" s="174" t="s">
        <v>181</v>
      </c>
      <c r="L17" s="175" t="s">
        <v>317</v>
      </c>
      <c r="M17" s="114"/>
      <c r="N17" s="2"/>
    </row>
    <row r="18" spans="1:14" ht="36.9" thickBot="1" x14ac:dyDescent="0.6">
      <c r="A18" s="2"/>
      <c r="B18" s="2"/>
      <c r="C18" s="137">
        <v>4</v>
      </c>
      <c r="D18" s="140" t="s">
        <v>87</v>
      </c>
      <c r="E18" s="143" t="s">
        <v>222</v>
      </c>
      <c r="F18" s="2"/>
      <c r="G18" s="2"/>
      <c r="H18" s="2"/>
      <c r="I18" s="2"/>
      <c r="J18" s="2"/>
      <c r="K18" s="2"/>
      <c r="L18" s="2"/>
      <c r="M18" s="2"/>
      <c r="N18" s="2"/>
    </row>
    <row r="19" spans="1:14" ht="30.75" customHeight="1" x14ac:dyDescent="0.55000000000000004">
      <c r="A19" s="2"/>
      <c r="B19" s="2"/>
      <c r="C19" s="2"/>
      <c r="D19" s="2"/>
      <c r="E19" s="2"/>
      <c r="F19" s="2"/>
      <c r="G19" s="2"/>
      <c r="H19" s="2"/>
      <c r="I19" s="2"/>
      <c r="J19" s="2"/>
      <c r="K19" s="2"/>
      <c r="L19" s="2"/>
      <c r="M19" s="2"/>
      <c r="N19" s="2"/>
    </row>
    <row r="20" spans="1:14" ht="30.75" hidden="1" customHeight="1" x14ac:dyDescent="0.55000000000000004"/>
    <row r="21" spans="1:14" ht="30.75" hidden="1" customHeight="1" x14ac:dyDescent="0.55000000000000004"/>
    <row r="22" spans="1:14" ht="30.75" hidden="1" customHeight="1" x14ac:dyDescent="0.55000000000000004"/>
    <row r="24" spans="1:14" ht="44.25" hidden="1" customHeight="1" x14ac:dyDescent="0.55000000000000004"/>
    <row r="25" spans="1:14" ht="44.25" hidden="1" customHeight="1" x14ac:dyDescent="0.55000000000000004"/>
    <row r="26" spans="1:14" ht="74.25" hidden="1" customHeight="1" x14ac:dyDescent="0.55000000000000004"/>
  </sheetData>
  <sheetProtection sheet="1" objects="1" scenarios="1"/>
  <mergeCells count="19">
    <mergeCell ref="G13:H13"/>
    <mergeCell ref="H14:I14"/>
    <mergeCell ref="B1:E1"/>
    <mergeCell ref="B9:B12"/>
    <mergeCell ref="B2:I2"/>
    <mergeCell ref="B3:E3"/>
    <mergeCell ref="B4:E4"/>
    <mergeCell ref="B5:E5"/>
    <mergeCell ref="D9:F9"/>
    <mergeCell ref="D8:F8"/>
    <mergeCell ref="D10:F10"/>
    <mergeCell ref="D11:F11"/>
    <mergeCell ref="D12:F12"/>
    <mergeCell ref="K14:L14"/>
    <mergeCell ref="K2:M2"/>
    <mergeCell ref="L3:M3"/>
    <mergeCell ref="L4:M4"/>
    <mergeCell ref="L5:M5"/>
    <mergeCell ref="L6:M6"/>
  </mergeCells>
  <conditionalFormatting sqref="G9:G12">
    <cfRule type="containsText" dxfId="21" priority="6" operator="containsText" text="N/A">
      <formula>NOT(ISERROR(SEARCH("N/A",G9)))</formula>
    </cfRule>
    <cfRule type="containsText" dxfId="20" priority="7" operator="containsText" text="Non-Compliant">
      <formula>NOT(ISERROR(SEARCH("Non-Compliant",G9)))</formula>
    </cfRule>
    <cfRule type="containsText" dxfId="19" priority="8" operator="containsText" text="Partially Compliant">
      <formula>NOT(ISERROR(SEARCH("Partially Compliant",G9)))</formula>
    </cfRule>
    <cfRule type="containsText" dxfId="18" priority="9" operator="containsText" text="Fully Compliant">
      <formula>NOT(ISERROR(SEARCH("Fully Compliant",G9)))</formula>
    </cfRule>
  </conditionalFormatting>
  <conditionalFormatting sqref="H14:I14">
    <cfRule type="containsText" dxfId="17" priority="1" operator="containsText" text="Improbable">
      <formula>NOT(ISERROR(SEARCH("Improbable",H14)))</formula>
    </cfRule>
    <cfRule type="containsText" dxfId="16" priority="2" operator="containsText" text="Remote">
      <formula>NOT(ISERROR(SEARCH("Remote",H14)))</formula>
    </cfRule>
    <cfRule type="containsText" dxfId="15" priority="3" operator="containsText" text="Uncertain">
      <formula>NOT(ISERROR(SEARCH("Uncertain",H14)))</formula>
    </cfRule>
    <cfRule type="containsText" dxfId="14" priority="4" operator="containsText" text="High">
      <formula>NOT(ISERROR(SEARCH("High",H14)))</formula>
    </cfRule>
    <cfRule type="containsText" dxfId="13" priority="5" operator="containsText" text="Probable">
      <formula>NOT(ISERROR(SEARCH("Probable",H14)))</formula>
    </cfRule>
  </conditionalFormatting>
  <dataValidations count="1">
    <dataValidation type="list" allowBlank="1" showInputMessage="1" showErrorMessage="1" errorTitle="Invalid Entry" error="Please select an approved evaluation tier from the drop-down list. Custom entries are not permitted to ensure framework scoring integrity." sqref="G9:G12" xr:uid="{E77FF694-A577-4E29-B0AA-BB95706E3D49}">
      <formula1>"Fully Compliant, Partially Compliant, Non-Compliant, N/A, "</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E887C-683B-44CA-B286-BD8513AEDA94}">
  <sheetPr codeName="Sheet4">
    <tabColor theme="7" tint="0.79998168889431442"/>
  </sheetPr>
  <dimension ref="A1:N12"/>
  <sheetViews>
    <sheetView workbookViewId="0"/>
  </sheetViews>
  <sheetFormatPr defaultColWidth="0" defaultRowHeight="14.4" zeroHeight="1" x14ac:dyDescent="0.55000000000000004"/>
  <cols>
    <col min="1" max="8" width="12" customWidth="1"/>
    <col min="9" max="9" width="8.15625" customWidth="1"/>
    <col min="10" max="10" width="3.68359375" customWidth="1"/>
    <col min="11" max="14" width="12" customWidth="1"/>
    <col min="15" max="16384" width="12" hidden="1"/>
  </cols>
  <sheetData>
    <row r="1" spans="1:14" ht="18.3" x14ac:dyDescent="0.7">
      <c r="A1" s="28"/>
      <c r="B1" s="28"/>
      <c r="C1" s="28"/>
      <c r="D1" s="28"/>
      <c r="E1" s="28"/>
      <c r="F1" s="28"/>
      <c r="G1" s="28"/>
      <c r="H1" s="28"/>
      <c r="I1" s="28"/>
      <c r="J1" s="28"/>
      <c r="K1" s="28"/>
      <c r="L1" s="28"/>
      <c r="M1" s="28"/>
      <c r="N1" s="28"/>
    </row>
    <row r="2" spans="1:14" ht="18.3" x14ac:dyDescent="0.7">
      <c r="A2" s="2"/>
      <c r="B2" s="45" t="s">
        <v>90</v>
      </c>
      <c r="C2" s="28"/>
      <c r="D2" s="28"/>
      <c r="E2" s="28"/>
      <c r="F2" s="28"/>
      <c r="G2" s="28"/>
      <c r="H2" s="28"/>
      <c r="I2" s="2"/>
      <c r="J2" s="2"/>
      <c r="K2" s="2"/>
      <c r="L2" s="2"/>
      <c r="M2" s="2"/>
      <c r="N2" s="2"/>
    </row>
    <row r="3" spans="1:14" ht="18.3" x14ac:dyDescent="0.7">
      <c r="A3" s="2"/>
      <c r="B3" s="28"/>
      <c r="C3" s="28"/>
      <c r="D3" s="28"/>
      <c r="E3" s="28"/>
      <c r="F3" s="28"/>
      <c r="G3" s="28"/>
      <c r="H3" s="28"/>
      <c r="I3" s="2"/>
      <c r="J3" s="2"/>
      <c r="K3" s="2"/>
      <c r="L3" s="2"/>
      <c r="M3" s="2"/>
      <c r="N3" s="2"/>
    </row>
    <row r="4" spans="1:14" ht="18.3" x14ac:dyDescent="0.7">
      <c r="A4" s="2"/>
      <c r="B4" s="45">
        <v>1</v>
      </c>
      <c r="C4" s="28" t="s">
        <v>91</v>
      </c>
      <c r="D4" s="28"/>
      <c r="E4" s="28"/>
      <c r="F4" s="28"/>
      <c r="G4" s="28"/>
      <c r="H4" s="28"/>
      <c r="I4" s="2"/>
      <c r="J4" s="2"/>
      <c r="K4" s="2"/>
      <c r="L4" s="2"/>
      <c r="M4" s="2"/>
      <c r="N4" s="2"/>
    </row>
    <row r="5" spans="1:14" ht="18.3" x14ac:dyDescent="0.7">
      <c r="A5" s="2"/>
      <c r="B5" s="45">
        <v>2</v>
      </c>
      <c r="C5" s="28" t="s">
        <v>319</v>
      </c>
      <c r="D5" s="28"/>
      <c r="E5" s="28"/>
      <c r="F5" s="28"/>
      <c r="G5" s="28"/>
      <c r="H5" s="28"/>
      <c r="I5" s="2"/>
      <c r="J5" s="2"/>
      <c r="K5" s="2"/>
      <c r="L5" s="2"/>
      <c r="M5" s="2"/>
      <c r="N5" s="2"/>
    </row>
    <row r="6" spans="1:14" ht="18.3" x14ac:dyDescent="0.7">
      <c r="A6" s="2"/>
      <c r="B6" s="45">
        <v>3</v>
      </c>
      <c r="C6" s="28" t="s">
        <v>239</v>
      </c>
      <c r="D6" s="28"/>
      <c r="E6" s="28"/>
      <c r="F6" s="28"/>
      <c r="G6" s="28"/>
      <c r="H6" s="28"/>
      <c r="I6" s="2"/>
      <c r="J6" s="2"/>
      <c r="K6" s="2"/>
      <c r="L6" s="2"/>
      <c r="M6" s="2"/>
      <c r="N6" s="2"/>
    </row>
    <row r="7" spans="1:14" ht="18.3" x14ac:dyDescent="0.7">
      <c r="A7" s="2"/>
      <c r="B7" s="45">
        <v>4</v>
      </c>
      <c r="C7" s="28" t="s">
        <v>92</v>
      </c>
      <c r="D7" s="28"/>
      <c r="E7" s="28"/>
      <c r="F7" s="28"/>
      <c r="G7" s="28"/>
      <c r="H7" s="28"/>
      <c r="I7" s="2"/>
      <c r="J7" s="2"/>
      <c r="K7" s="2"/>
      <c r="L7" s="2"/>
      <c r="M7" s="2"/>
      <c r="N7" s="2"/>
    </row>
    <row r="8" spans="1:14" ht="18.3" x14ac:dyDescent="0.7">
      <c r="A8" s="2"/>
      <c r="B8" s="28"/>
      <c r="C8" s="28"/>
      <c r="D8" s="28"/>
      <c r="E8" s="28"/>
      <c r="F8" s="28"/>
      <c r="G8" s="28"/>
      <c r="H8" s="28"/>
      <c r="I8" s="2"/>
      <c r="J8" s="2"/>
      <c r="K8" s="2"/>
      <c r="L8" s="2"/>
      <c r="M8" s="2"/>
      <c r="N8" s="2"/>
    </row>
    <row r="9" spans="1:14" ht="24.75" customHeight="1" x14ac:dyDescent="0.7">
      <c r="A9" s="2"/>
      <c r="B9" s="28"/>
      <c r="C9" s="216" t="s">
        <v>241</v>
      </c>
      <c r="D9" s="216"/>
      <c r="E9" s="216"/>
      <c r="F9" s="216"/>
      <c r="G9" s="216"/>
      <c r="H9" s="216"/>
      <c r="I9" s="216"/>
      <c r="J9" s="167" t="b">
        <v>0</v>
      </c>
      <c r="K9" s="2"/>
      <c r="L9" s="2"/>
      <c r="M9" s="2"/>
      <c r="N9" s="2"/>
    </row>
    <row r="10" spans="1:14" ht="18.3" x14ac:dyDescent="0.7">
      <c r="A10" s="2"/>
      <c r="B10" s="28"/>
      <c r="C10" s="216" t="s">
        <v>197</v>
      </c>
      <c r="D10" s="216"/>
      <c r="E10" s="216"/>
      <c r="F10" s="216"/>
      <c r="G10" s="216"/>
      <c r="H10" s="46"/>
      <c r="I10" s="2"/>
      <c r="J10" s="2"/>
      <c r="K10" s="2"/>
      <c r="L10" s="2"/>
      <c r="M10" s="2"/>
      <c r="N10" s="2"/>
    </row>
    <row r="11" spans="1:14" ht="27.75" customHeight="1" x14ac:dyDescent="0.7">
      <c r="A11" s="28"/>
      <c r="B11" s="28"/>
      <c r="C11" s="28"/>
      <c r="D11" s="28"/>
      <c r="E11" s="28"/>
      <c r="F11" s="28"/>
      <c r="G11" s="28"/>
      <c r="H11" s="28"/>
      <c r="I11" s="28"/>
      <c r="J11" s="28"/>
      <c r="K11" s="28"/>
      <c r="L11" s="28"/>
      <c r="M11" s="28"/>
      <c r="N11" s="28"/>
    </row>
    <row r="12" spans="1:14" x14ac:dyDescent="0.55000000000000004">
      <c r="A12" s="2"/>
      <c r="B12" s="2"/>
      <c r="C12" s="2"/>
      <c r="D12" s="2"/>
      <c r="E12" s="2"/>
      <c r="F12" s="2"/>
      <c r="G12" s="2"/>
      <c r="H12" s="2"/>
      <c r="I12" s="2"/>
      <c r="J12" s="2"/>
      <c r="K12" s="2"/>
      <c r="L12" s="2"/>
      <c r="M12" s="2"/>
      <c r="N12" s="2"/>
    </row>
  </sheetData>
  <sheetProtection sheet="1" objects="1" scenarios="1"/>
  <mergeCells count="2">
    <mergeCell ref="C9:I9"/>
    <mergeCell ref="C10:G10"/>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7091B-F4B6-4D25-8E5F-5491A225054D}">
  <dimension ref="A1:F16"/>
  <sheetViews>
    <sheetView zoomScale="60" zoomScaleNormal="60" workbookViewId="0"/>
  </sheetViews>
  <sheetFormatPr defaultColWidth="0" defaultRowHeight="18.3" zeroHeight="1" x14ac:dyDescent="0.7"/>
  <cols>
    <col min="1" max="1" width="8.83984375" style="4" customWidth="1"/>
    <col min="2" max="2" width="17.26171875" style="28" customWidth="1"/>
    <col min="3" max="3" width="14.578125" style="28" customWidth="1"/>
    <col min="4" max="4" width="117.83984375" style="28" customWidth="1"/>
    <col min="5" max="5" width="19.15625" style="28" bestFit="1" customWidth="1"/>
    <col min="6" max="6" width="43.15625" style="28" customWidth="1"/>
    <col min="7" max="16384" width="9.15625" style="4" hidden="1"/>
  </cols>
  <sheetData>
    <row r="1" spans="1:6" ht="22.5" customHeight="1" x14ac:dyDescent="0.7">
      <c r="A1" s="28"/>
    </row>
    <row r="2" spans="1:6" x14ac:dyDescent="0.7">
      <c r="A2" s="28"/>
      <c r="B2" s="240" t="s">
        <v>101</v>
      </c>
      <c r="C2" s="240"/>
      <c r="D2" s="240"/>
    </row>
    <row r="3" spans="1:6" x14ac:dyDescent="0.7">
      <c r="A3" s="28"/>
      <c r="B3" s="33" t="s">
        <v>165</v>
      </c>
      <c r="C3" s="34"/>
      <c r="D3" s="7"/>
    </row>
    <row r="4" spans="1:6" x14ac:dyDescent="0.7">
      <c r="A4" s="28"/>
      <c r="B4" s="33" t="s">
        <v>166</v>
      </c>
      <c r="C4" s="34"/>
      <c r="D4" s="7"/>
    </row>
    <row r="5" spans="1:6" x14ac:dyDescent="0.7">
      <c r="A5" s="28"/>
      <c r="B5" s="33" t="s">
        <v>167</v>
      </c>
      <c r="C5" s="34"/>
      <c r="D5" s="7"/>
    </row>
    <row r="6" spans="1:6" x14ac:dyDescent="0.7">
      <c r="A6" s="28"/>
      <c r="B6" s="35" t="s">
        <v>168</v>
      </c>
      <c r="C6" s="34"/>
      <c r="D6" s="7"/>
    </row>
    <row r="7" spans="1:6" ht="21.6" thickBot="1" x14ac:dyDescent="0.9">
      <c r="A7" s="28"/>
      <c r="B7" s="250" t="s">
        <v>151</v>
      </c>
      <c r="C7" s="250"/>
      <c r="D7" s="250"/>
      <c r="E7" s="250"/>
    </row>
    <row r="8" spans="1:6" ht="18.600000000000001" thickBot="1" x14ac:dyDescent="0.75">
      <c r="A8" s="28"/>
      <c r="B8" s="41" t="s">
        <v>93</v>
      </c>
      <c r="C8" s="48" t="s">
        <v>110</v>
      </c>
      <c r="D8" s="5" t="s">
        <v>94</v>
      </c>
      <c r="E8" s="81" t="s">
        <v>170</v>
      </c>
    </row>
    <row r="9" spans="1:6" ht="146.4" x14ac:dyDescent="0.7">
      <c r="A9" s="28"/>
      <c r="B9" s="251" t="s">
        <v>150</v>
      </c>
      <c r="C9" s="84" t="s">
        <v>282</v>
      </c>
      <c r="D9" s="117" t="s">
        <v>238</v>
      </c>
      <c r="E9" s="168" t="s">
        <v>171</v>
      </c>
      <c r="F9" s="93"/>
    </row>
    <row r="10" spans="1:6" ht="73.5" thickBot="1" x14ac:dyDescent="0.75">
      <c r="A10" s="28"/>
      <c r="B10" s="252"/>
      <c r="C10" s="82" t="s">
        <v>283</v>
      </c>
      <c r="D10" s="118" t="s">
        <v>229</v>
      </c>
      <c r="E10" s="168" t="s">
        <v>171</v>
      </c>
      <c r="F10" s="93"/>
    </row>
    <row r="11" spans="1:6" ht="73.5" thickBot="1" x14ac:dyDescent="0.75">
      <c r="A11" s="28"/>
      <c r="B11" s="252"/>
      <c r="C11" s="82" t="s">
        <v>284</v>
      </c>
      <c r="D11" s="118" t="s">
        <v>230</v>
      </c>
      <c r="E11" s="169" t="s">
        <v>171</v>
      </c>
      <c r="F11" s="93"/>
    </row>
    <row r="12" spans="1:6" ht="110.1" thickBot="1" x14ac:dyDescent="0.75">
      <c r="A12" s="28"/>
      <c r="B12" s="252"/>
      <c r="C12" s="82" t="s">
        <v>285</v>
      </c>
      <c r="D12" s="118" t="s">
        <v>172</v>
      </c>
      <c r="E12" s="169" t="s">
        <v>171</v>
      </c>
    </row>
    <row r="13" spans="1:6" ht="110.1" thickBot="1" x14ac:dyDescent="0.75">
      <c r="A13" s="28"/>
      <c r="B13" s="252"/>
      <c r="C13" s="82" t="s">
        <v>286</v>
      </c>
      <c r="D13" s="118" t="s">
        <v>173</v>
      </c>
      <c r="E13" s="169" t="s">
        <v>171</v>
      </c>
    </row>
    <row r="14" spans="1:6" ht="126.75" customHeight="1" thickBot="1" x14ac:dyDescent="0.75">
      <c r="A14" s="28"/>
      <c r="B14" s="253"/>
      <c r="C14" s="83" t="s">
        <v>287</v>
      </c>
      <c r="D14" s="119" t="s">
        <v>174</v>
      </c>
      <c r="E14" s="169" t="s">
        <v>171</v>
      </c>
    </row>
    <row r="15" spans="1:6" ht="18.600000000000001" thickBot="1" x14ac:dyDescent="0.75">
      <c r="A15" s="28"/>
      <c r="D15" s="50" t="s">
        <v>152</v>
      </c>
      <c r="E15" s="51" t="str">
        <f>IF(COUNTIF(E9:E14,"Fail")&gt;0,"FAIL","PASS")</f>
        <v>PASS</v>
      </c>
    </row>
    <row r="16" spans="1:6" x14ac:dyDescent="0.7">
      <c r="A16" s="28"/>
    </row>
  </sheetData>
  <sheetProtection sheet="1" objects="1" scenarios="1"/>
  <mergeCells count="3">
    <mergeCell ref="B2:D2"/>
    <mergeCell ref="B7:E7"/>
    <mergeCell ref="B9:B14"/>
  </mergeCells>
  <conditionalFormatting sqref="E9:E15">
    <cfRule type="containsText" dxfId="12" priority="1" operator="containsText" text="FAIL">
      <formula>NOT(ISERROR(SEARCH("FAIL",E9)))</formula>
    </cfRule>
    <cfRule type="containsText" dxfId="11" priority="2" operator="containsText" text="PASS">
      <formula>NOT(ISERROR(SEARCH("PASS",E9)))</formula>
    </cfRule>
  </conditionalFormatting>
  <dataValidations count="1">
    <dataValidation type="list" allowBlank="1" showInputMessage="1" showErrorMessage="1" errorTitle="Invalid Entry" error="Please select an approved evaluation tier from the drop-down list. Custom entries are not permitted to ensure framework scoring integrity." sqref="E9:E14" xr:uid="{6A3AE1D4-303E-40C9-B2C9-0BB2C87A7FEA}">
      <formula1>"PASS, FAIL"</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EA27-2974-4D3C-9189-04ABD6167D05}">
  <dimension ref="A1:L38"/>
  <sheetViews>
    <sheetView zoomScale="48" zoomScaleNormal="48" workbookViewId="0"/>
  </sheetViews>
  <sheetFormatPr defaultColWidth="0" defaultRowHeight="14.4" zeroHeight="1" x14ac:dyDescent="0.55000000000000004"/>
  <cols>
    <col min="1" max="1" width="8.83984375" style="2" customWidth="1"/>
    <col min="2" max="2" width="26.26171875" style="2" customWidth="1"/>
    <col min="3" max="3" width="14.578125" style="2" customWidth="1"/>
    <col min="4" max="4" width="81.68359375" style="2" customWidth="1"/>
    <col min="5" max="5" width="19.578125" style="2" bestFit="1" customWidth="1"/>
    <col min="6" max="6" width="13.68359375" style="2" customWidth="1"/>
    <col min="7" max="7" width="10.83984375" style="2" bestFit="1" customWidth="1"/>
    <col min="8" max="8" width="8.83984375" style="2" customWidth="1"/>
    <col min="9" max="9" width="31" style="2" bestFit="1" customWidth="1"/>
    <col min="10" max="10" width="35.41796875" style="2" customWidth="1"/>
    <col min="11" max="11" width="80.578125" style="2" customWidth="1"/>
    <col min="12" max="12" width="9.15625" style="2" customWidth="1"/>
    <col min="13" max="16384" width="9.15625" hidden="1"/>
  </cols>
  <sheetData>
    <row r="1" spans="1:12" s="2" customFormat="1" ht="18.3" x14ac:dyDescent="0.7">
      <c r="A1" s="28"/>
      <c r="B1" s="28"/>
      <c r="C1" s="28"/>
      <c r="D1" s="28"/>
      <c r="E1" s="28"/>
      <c r="F1" s="28"/>
      <c r="G1" s="28"/>
      <c r="H1" s="28"/>
      <c r="I1" s="28"/>
      <c r="J1" s="28"/>
      <c r="K1" s="28"/>
      <c r="L1" s="28"/>
    </row>
    <row r="2" spans="1:12" ht="23.7" x14ac:dyDescent="0.7">
      <c r="A2" s="28"/>
      <c r="B2" s="181" t="s">
        <v>223</v>
      </c>
      <c r="C2" s="181"/>
      <c r="D2" s="181"/>
      <c r="E2" s="181"/>
      <c r="F2" s="181"/>
      <c r="G2" s="181"/>
      <c r="H2" s="181"/>
      <c r="I2" s="273"/>
      <c r="J2" s="273"/>
      <c r="K2" s="273"/>
      <c r="L2" s="28"/>
    </row>
    <row r="3" spans="1:12" ht="18.3" x14ac:dyDescent="0.7">
      <c r="A3" s="28"/>
      <c r="B3" s="216" t="s">
        <v>236</v>
      </c>
      <c r="C3" s="216"/>
      <c r="D3" s="216"/>
      <c r="E3" s="216"/>
      <c r="F3" s="96"/>
      <c r="G3" s="97"/>
      <c r="H3" s="97"/>
      <c r="I3" s="36"/>
      <c r="J3" s="180"/>
      <c r="K3" s="180"/>
      <c r="L3" s="28"/>
    </row>
    <row r="4" spans="1:12" ht="18.3" x14ac:dyDescent="0.7">
      <c r="A4" s="28"/>
      <c r="B4" s="217" t="s">
        <v>235</v>
      </c>
      <c r="C4" s="217"/>
      <c r="D4" s="217"/>
      <c r="E4" s="217"/>
      <c r="F4" s="35"/>
      <c r="G4" s="106"/>
      <c r="H4" s="106"/>
      <c r="I4" s="36"/>
      <c r="J4" s="180"/>
      <c r="K4" s="180"/>
      <c r="L4" s="28"/>
    </row>
    <row r="5" spans="1:12" ht="18.3" x14ac:dyDescent="0.7">
      <c r="A5" s="28"/>
      <c r="B5" s="216" t="s">
        <v>237</v>
      </c>
      <c r="C5" s="216"/>
      <c r="D5" s="216"/>
      <c r="E5" s="216"/>
      <c r="F5" s="96"/>
      <c r="G5" s="106"/>
      <c r="H5" s="106"/>
      <c r="I5" s="36"/>
      <c r="J5" s="180"/>
      <c r="K5" s="180"/>
      <c r="L5" s="28"/>
    </row>
    <row r="6" spans="1:12" ht="18.600000000000001" thickBot="1" x14ac:dyDescent="0.75">
      <c r="A6" s="28"/>
      <c r="B6" s="28"/>
      <c r="C6" s="28"/>
      <c r="D6" s="28"/>
      <c r="E6" s="28"/>
      <c r="F6" s="28"/>
      <c r="G6" s="28"/>
      <c r="H6" s="28"/>
      <c r="L6" s="28"/>
    </row>
    <row r="7" spans="1:12" ht="24" thickBot="1" x14ac:dyDescent="0.75">
      <c r="A7" s="28"/>
      <c r="B7" s="47" t="s">
        <v>93</v>
      </c>
      <c r="C7" s="48" t="s">
        <v>110</v>
      </c>
      <c r="D7" s="6" t="s">
        <v>94</v>
      </c>
      <c r="E7" s="48" t="s">
        <v>97</v>
      </c>
      <c r="F7" s="48" t="s">
        <v>95</v>
      </c>
      <c r="G7" s="49" t="s">
        <v>96</v>
      </c>
      <c r="H7" s="28"/>
      <c r="I7" s="270" t="s">
        <v>101</v>
      </c>
      <c r="J7" s="271"/>
      <c r="K7" s="272"/>
      <c r="L7" s="28"/>
    </row>
    <row r="8" spans="1:12" ht="36.9" thickBot="1" x14ac:dyDescent="0.75">
      <c r="A8" s="28"/>
      <c r="B8" s="231" t="s">
        <v>140</v>
      </c>
      <c r="C8" s="52" t="s">
        <v>288</v>
      </c>
      <c r="D8" s="53" t="s">
        <v>122</v>
      </c>
      <c r="E8" s="162" t="s">
        <v>100</v>
      </c>
      <c r="F8" s="55">
        <v>4</v>
      </c>
      <c r="G8" s="56">
        <f>IF(E8="Fully Compliant", F8*1, IF(E8="Partially Compliant", F8*2, IF(E8="Non-Compliant", F8*3, 0)))</f>
        <v>0</v>
      </c>
      <c r="H8" s="28"/>
      <c r="I8" s="107" t="s">
        <v>99</v>
      </c>
      <c r="J8" s="285" t="s">
        <v>242</v>
      </c>
      <c r="K8" s="286"/>
      <c r="L8" s="28"/>
    </row>
    <row r="9" spans="1:12" ht="30" customHeight="1" thickBot="1" x14ac:dyDescent="0.75">
      <c r="A9" s="28"/>
      <c r="B9" s="234"/>
      <c r="C9" s="57" t="s">
        <v>289</v>
      </c>
      <c r="D9" s="58" t="s">
        <v>123</v>
      </c>
      <c r="E9" s="163" t="s">
        <v>100</v>
      </c>
      <c r="F9" s="60">
        <v>4</v>
      </c>
      <c r="G9" s="61">
        <f t="shared" ref="G9:G32" si="0">IF(E9="Fully Compliant", F9*1, IF(E9="Partially Compliant", F9*2, IF(E9="Non-Compliant", F9*3, 0)))</f>
        <v>0</v>
      </c>
      <c r="H9" s="28"/>
      <c r="I9" s="108" t="s">
        <v>98</v>
      </c>
      <c r="J9" s="285" t="s">
        <v>243</v>
      </c>
      <c r="K9" s="286"/>
      <c r="L9" s="28"/>
    </row>
    <row r="10" spans="1:12" ht="29.1" customHeight="1" thickBot="1" x14ac:dyDescent="0.75">
      <c r="A10" s="28"/>
      <c r="B10" s="234"/>
      <c r="C10" s="57" t="s">
        <v>290</v>
      </c>
      <c r="D10" s="58" t="s">
        <v>119</v>
      </c>
      <c r="E10" s="163" t="s">
        <v>100</v>
      </c>
      <c r="F10" s="60">
        <v>3</v>
      </c>
      <c r="G10" s="61">
        <f t="shared" si="0"/>
        <v>0</v>
      </c>
      <c r="H10" s="28"/>
      <c r="I10" s="107" t="s">
        <v>133</v>
      </c>
      <c r="J10" s="285" t="s">
        <v>202</v>
      </c>
      <c r="K10" s="286"/>
      <c r="L10" s="28"/>
    </row>
    <row r="11" spans="1:12" ht="29.1" customHeight="1" thickBot="1" x14ac:dyDescent="0.75">
      <c r="A11" s="28"/>
      <c r="B11" s="234"/>
      <c r="C11" s="57" t="s">
        <v>291</v>
      </c>
      <c r="D11" s="58" t="s">
        <v>120</v>
      </c>
      <c r="E11" s="163" t="s">
        <v>100</v>
      </c>
      <c r="F11" s="60">
        <v>2</v>
      </c>
      <c r="G11" s="61">
        <f t="shared" si="0"/>
        <v>0</v>
      </c>
      <c r="H11" s="28"/>
      <c r="I11" s="109" t="s">
        <v>100</v>
      </c>
      <c r="J11" s="285" t="s">
        <v>203</v>
      </c>
      <c r="K11" s="286"/>
      <c r="L11" s="28"/>
    </row>
    <row r="12" spans="1:12" ht="36.9" thickBot="1" x14ac:dyDescent="0.75">
      <c r="A12" s="28"/>
      <c r="B12" s="234"/>
      <c r="C12" s="57" t="s">
        <v>292</v>
      </c>
      <c r="D12" s="58" t="s">
        <v>121</v>
      </c>
      <c r="E12" s="163" t="s">
        <v>100</v>
      </c>
      <c r="F12" s="60">
        <v>2</v>
      </c>
      <c r="G12" s="61">
        <f t="shared" si="0"/>
        <v>0</v>
      </c>
      <c r="H12" s="28"/>
      <c r="L12" s="28"/>
    </row>
    <row r="13" spans="1:12" ht="37.799999999999997" customHeight="1" thickBot="1" x14ac:dyDescent="0.75">
      <c r="A13" s="28"/>
      <c r="B13" s="267" t="s">
        <v>141</v>
      </c>
      <c r="C13" s="57" t="s">
        <v>293</v>
      </c>
      <c r="D13" s="58" t="s">
        <v>124</v>
      </c>
      <c r="E13" s="163" t="s">
        <v>100</v>
      </c>
      <c r="F13" s="60">
        <v>4</v>
      </c>
      <c r="G13" s="61">
        <f t="shared" si="0"/>
        <v>0</v>
      </c>
      <c r="H13" s="28"/>
      <c r="L13" s="28"/>
    </row>
    <row r="14" spans="1:12" ht="36.9" thickBot="1" x14ac:dyDescent="0.75">
      <c r="A14" s="28"/>
      <c r="B14" s="268"/>
      <c r="C14" s="57" t="s">
        <v>294</v>
      </c>
      <c r="D14" s="58" t="s">
        <v>125</v>
      </c>
      <c r="E14" s="163" t="s">
        <v>100</v>
      </c>
      <c r="F14" s="60">
        <v>3</v>
      </c>
      <c r="G14" s="61">
        <f t="shared" si="0"/>
        <v>0</v>
      </c>
      <c r="H14" s="28"/>
      <c r="I14" s="40" t="s">
        <v>204</v>
      </c>
      <c r="J14" s="40" t="s">
        <v>234</v>
      </c>
      <c r="K14" s="110" t="s">
        <v>205</v>
      </c>
      <c r="L14" s="28"/>
    </row>
    <row r="15" spans="1:12" ht="36.6" x14ac:dyDescent="0.7">
      <c r="A15" s="28"/>
      <c r="B15" s="268"/>
      <c r="C15" s="57" t="s">
        <v>295</v>
      </c>
      <c r="D15" s="58" t="s">
        <v>126</v>
      </c>
      <c r="E15" s="163" t="s">
        <v>100</v>
      </c>
      <c r="F15" s="60">
        <v>3</v>
      </c>
      <c r="G15" s="61">
        <f t="shared" si="0"/>
        <v>0</v>
      </c>
      <c r="H15" s="28"/>
      <c r="I15" s="148" t="s">
        <v>89</v>
      </c>
      <c r="J15" s="148" t="s">
        <v>245</v>
      </c>
      <c r="K15" s="149" t="s">
        <v>246</v>
      </c>
      <c r="L15" s="28"/>
    </row>
    <row r="16" spans="1:12" ht="36.9" thickBot="1" x14ac:dyDescent="0.75">
      <c r="A16" s="28"/>
      <c r="B16" s="269"/>
      <c r="C16" s="65" t="s">
        <v>296</v>
      </c>
      <c r="D16" s="66" t="s">
        <v>127</v>
      </c>
      <c r="E16" s="164" t="s">
        <v>100</v>
      </c>
      <c r="F16" s="68">
        <v>2</v>
      </c>
      <c r="G16" s="69">
        <f t="shared" si="0"/>
        <v>0</v>
      </c>
      <c r="H16" s="28"/>
      <c r="I16" s="144" t="s">
        <v>88</v>
      </c>
      <c r="J16" s="144" t="s">
        <v>247</v>
      </c>
      <c r="K16" s="146" t="s">
        <v>250</v>
      </c>
      <c r="L16" s="28"/>
    </row>
    <row r="17" spans="1:12" ht="36.6" x14ac:dyDescent="0.7">
      <c r="A17" s="28"/>
      <c r="B17" s="256" t="s">
        <v>142</v>
      </c>
      <c r="C17" s="52" t="s">
        <v>297</v>
      </c>
      <c r="D17" s="53" t="s">
        <v>128</v>
      </c>
      <c r="E17" s="162" t="s">
        <v>100</v>
      </c>
      <c r="F17" s="55">
        <v>3</v>
      </c>
      <c r="G17" s="56">
        <f t="shared" si="0"/>
        <v>0</v>
      </c>
      <c r="H17" s="28"/>
      <c r="I17" s="144" t="s">
        <v>87</v>
      </c>
      <c r="J17" s="144" t="s">
        <v>248</v>
      </c>
      <c r="K17" s="146" t="s">
        <v>251</v>
      </c>
      <c r="L17" s="28"/>
    </row>
    <row r="18" spans="1:12" ht="55.2" thickBot="1" x14ac:dyDescent="0.75">
      <c r="A18" s="28"/>
      <c r="B18" s="258"/>
      <c r="C18" s="65" t="s">
        <v>298</v>
      </c>
      <c r="D18" s="66" t="s">
        <v>129</v>
      </c>
      <c r="E18" s="164" t="s">
        <v>100</v>
      </c>
      <c r="F18" s="68">
        <v>3</v>
      </c>
      <c r="G18" s="69">
        <f t="shared" si="0"/>
        <v>0</v>
      </c>
      <c r="H18" s="28"/>
      <c r="I18" s="145" t="s">
        <v>86</v>
      </c>
      <c r="J18" s="145" t="s">
        <v>249</v>
      </c>
      <c r="K18" s="147" t="s">
        <v>252</v>
      </c>
      <c r="L18" s="28"/>
    </row>
    <row r="19" spans="1:12" ht="36.9" thickBot="1" x14ac:dyDescent="0.75">
      <c r="A19" s="28"/>
      <c r="B19" s="256" t="s">
        <v>143</v>
      </c>
      <c r="C19" s="52" t="s">
        <v>299</v>
      </c>
      <c r="D19" s="53" t="s">
        <v>134</v>
      </c>
      <c r="E19" s="162" t="s">
        <v>100</v>
      </c>
      <c r="F19" s="55">
        <v>4</v>
      </c>
      <c r="G19" s="56">
        <f t="shared" si="0"/>
        <v>0</v>
      </c>
      <c r="H19" s="28"/>
      <c r="L19" s="28"/>
    </row>
    <row r="20" spans="1:12" ht="36.9" thickBot="1" x14ac:dyDescent="0.75">
      <c r="A20" s="28"/>
      <c r="B20" s="257"/>
      <c r="C20" s="57" t="s">
        <v>300</v>
      </c>
      <c r="D20" s="58" t="s">
        <v>153</v>
      </c>
      <c r="E20" s="163" t="s">
        <v>100</v>
      </c>
      <c r="F20" s="60">
        <v>3</v>
      </c>
      <c r="G20" s="61">
        <f t="shared" si="0"/>
        <v>0</v>
      </c>
      <c r="H20" s="28"/>
      <c r="I20" s="48" t="s">
        <v>199</v>
      </c>
      <c r="J20" s="48" t="s">
        <v>215</v>
      </c>
      <c r="K20" s="49" t="s">
        <v>216</v>
      </c>
      <c r="L20" s="28"/>
    </row>
    <row r="21" spans="1:12" ht="36.6" x14ac:dyDescent="0.7">
      <c r="A21" s="28"/>
      <c r="B21" s="257"/>
      <c r="C21" s="57" t="s">
        <v>301</v>
      </c>
      <c r="D21" s="58" t="s">
        <v>135</v>
      </c>
      <c r="E21" s="163" t="s">
        <v>100</v>
      </c>
      <c r="F21" s="60">
        <v>3</v>
      </c>
      <c r="G21" s="61">
        <f t="shared" si="0"/>
        <v>0</v>
      </c>
      <c r="H21" s="28"/>
      <c r="I21" s="135">
        <v>1</v>
      </c>
      <c r="J21" s="135" t="s">
        <v>217</v>
      </c>
      <c r="K21" s="141" t="s">
        <v>218</v>
      </c>
      <c r="L21" s="28"/>
    </row>
    <row r="22" spans="1:12" ht="55.2" thickBot="1" x14ac:dyDescent="0.75">
      <c r="A22" s="28"/>
      <c r="B22" s="258"/>
      <c r="C22" s="65" t="s">
        <v>302</v>
      </c>
      <c r="D22" s="66" t="s">
        <v>136</v>
      </c>
      <c r="E22" s="164" t="s">
        <v>100</v>
      </c>
      <c r="F22" s="68">
        <v>2</v>
      </c>
      <c r="G22" s="69">
        <f t="shared" si="0"/>
        <v>0</v>
      </c>
      <c r="H22" s="28"/>
      <c r="I22" s="136">
        <v>2</v>
      </c>
      <c r="J22" s="136" t="s">
        <v>219</v>
      </c>
      <c r="K22" s="142" t="s">
        <v>314</v>
      </c>
      <c r="L22" s="28"/>
    </row>
    <row r="23" spans="1:12" ht="36.6" x14ac:dyDescent="0.7">
      <c r="A23" s="28"/>
      <c r="B23" s="256" t="s">
        <v>144</v>
      </c>
      <c r="C23" s="52" t="s">
        <v>303</v>
      </c>
      <c r="D23" s="124" t="s">
        <v>130</v>
      </c>
      <c r="E23" s="162" t="s">
        <v>100</v>
      </c>
      <c r="F23" s="55">
        <v>4</v>
      </c>
      <c r="G23" s="56">
        <f t="shared" si="0"/>
        <v>0</v>
      </c>
      <c r="H23" s="28"/>
      <c r="I23" s="136">
        <v>3</v>
      </c>
      <c r="J23" s="136" t="s">
        <v>220</v>
      </c>
      <c r="K23" s="142" t="s">
        <v>221</v>
      </c>
      <c r="L23" s="28"/>
    </row>
    <row r="24" spans="1:12" ht="36.9" thickBot="1" x14ac:dyDescent="0.75">
      <c r="A24" s="28"/>
      <c r="B24" s="257"/>
      <c r="C24" s="57" t="s">
        <v>304</v>
      </c>
      <c r="D24" s="125" t="s">
        <v>131</v>
      </c>
      <c r="E24" s="163" t="s">
        <v>100</v>
      </c>
      <c r="F24" s="60">
        <v>4</v>
      </c>
      <c r="G24" s="61">
        <f t="shared" si="0"/>
        <v>0</v>
      </c>
      <c r="H24" s="28"/>
      <c r="I24" s="137">
        <v>4</v>
      </c>
      <c r="J24" s="137" t="s">
        <v>87</v>
      </c>
      <c r="K24" s="143" t="s">
        <v>222</v>
      </c>
      <c r="L24" s="28"/>
    </row>
    <row r="25" spans="1:12" ht="38.25" customHeight="1" thickBot="1" x14ac:dyDescent="0.75">
      <c r="A25" s="28"/>
      <c r="B25" s="258"/>
      <c r="C25" s="65" t="s">
        <v>305</v>
      </c>
      <c r="D25" s="134" t="s">
        <v>132</v>
      </c>
      <c r="E25" s="164" t="s">
        <v>100</v>
      </c>
      <c r="F25" s="68">
        <v>4</v>
      </c>
      <c r="G25" s="69">
        <f t="shared" si="0"/>
        <v>0</v>
      </c>
      <c r="H25" s="28"/>
      <c r="L25" s="28"/>
    </row>
    <row r="26" spans="1:12" ht="36.9" thickBot="1" x14ac:dyDescent="0.75">
      <c r="A26" s="28"/>
      <c r="B26" s="256" t="s">
        <v>145</v>
      </c>
      <c r="C26" s="52" t="s">
        <v>306</v>
      </c>
      <c r="D26" s="124" t="s">
        <v>137</v>
      </c>
      <c r="E26" s="170" t="s">
        <v>100</v>
      </c>
      <c r="F26" s="55">
        <v>3</v>
      </c>
      <c r="G26" s="56">
        <f t="shared" si="0"/>
        <v>0</v>
      </c>
      <c r="H26" s="28"/>
      <c r="L26" s="28"/>
    </row>
    <row r="27" spans="1:12" ht="36.9" thickBot="1" x14ac:dyDescent="0.75">
      <c r="A27" s="28"/>
      <c r="B27" s="257"/>
      <c r="C27" s="57" t="s">
        <v>307</v>
      </c>
      <c r="D27" s="125" t="s">
        <v>138</v>
      </c>
      <c r="E27" s="171" t="s">
        <v>100</v>
      </c>
      <c r="F27" s="60">
        <v>2</v>
      </c>
      <c r="G27" s="61">
        <f t="shared" si="0"/>
        <v>0</v>
      </c>
      <c r="H27" s="28"/>
      <c r="I27" s="264" t="s">
        <v>253</v>
      </c>
      <c r="J27" s="265"/>
      <c r="K27" s="266"/>
      <c r="L27" s="28"/>
    </row>
    <row r="28" spans="1:12" ht="27.75" customHeight="1" thickBot="1" x14ac:dyDescent="0.75">
      <c r="A28" s="28"/>
      <c r="B28" s="258"/>
      <c r="C28" s="65" t="s">
        <v>308</v>
      </c>
      <c r="D28" s="134" t="s">
        <v>139</v>
      </c>
      <c r="E28" s="172" t="s">
        <v>100</v>
      </c>
      <c r="F28" s="68">
        <v>1</v>
      </c>
      <c r="G28" s="69">
        <f t="shared" si="0"/>
        <v>0</v>
      </c>
      <c r="H28" s="28"/>
      <c r="I28" s="252" t="s">
        <v>313</v>
      </c>
      <c r="J28" s="260"/>
      <c r="K28" s="261"/>
      <c r="L28" s="28"/>
    </row>
    <row r="29" spans="1:12" ht="36.6" x14ac:dyDescent="0.7">
      <c r="A29" s="28"/>
      <c r="B29" s="259" t="s">
        <v>118</v>
      </c>
      <c r="C29" s="128" t="s">
        <v>309</v>
      </c>
      <c r="D29" s="133" t="s">
        <v>146</v>
      </c>
      <c r="E29" s="173" t="s">
        <v>100</v>
      </c>
      <c r="F29" s="131">
        <v>2</v>
      </c>
      <c r="G29" s="132">
        <f t="shared" si="0"/>
        <v>0</v>
      </c>
      <c r="H29" s="28"/>
      <c r="I29" s="252"/>
      <c r="J29" s="260"/>
      <c r="K29" s="261"/>
      <c r="L29" s="28"/>
    </row>
    <row r="30" spans="1:12" ht="55.2" thickBot="1" x14ac:dyDescent="0.75">
      <c r="A30" s="28"/>
      <c r="B30" s="257"/>
      <c r="C30" s="57" t="s">
        <v>310</v>
      </c>
      <c r="D30" s="125" t="s">
        <v>147</v>
      </c>
      <c r="E30" s="171" t="s">
        <v>100</v>
      </c>
      <c r="F30" s="60">
        <v>1</v>
      </c>
      <c r="G30" s="61">
        <f t="shared" si="0"/>
        <v>0</v>
      </c>
      <c r="H30" s="28"/>
      <c r="I30" s="253"/>
      <c r="J30" s="262"/>
      <c r="K30" s="263"/>
      <c r="L30" s="28"/>
    </row>
    <row r="31" spans="1:12" ht="36.6" x14ac:dyDescent="0.7">
      <c r="A31" s="28"/>
      <c r="B31" s="257"/>
      <c r="C31" s="57" t="s">
        <v>311</v>
      </c>
      <c r="D31" s="126" t="s">
        <v>148</v>
      </c>
      <c r="E31" s="171" t="s">
        <v>100</v>
      </c>
      <c r="F31" s="60">
        <v>1</v>
      </c>
      <c r="G31" s="61">
        <f t="shared" si="0"/>
        <v>0</v>
      </c>
      <c r="H31" s="28"/>
      <c r="J31" s="28"/>
      <c r="K31" s="28"/>
      <c r="L31" s="28"/>
    </row>
    <row r="32" spans="1:12" ht="55.2" thickBot="1" x14ac:dyDescent="0.75">
      <c r="A32" s="28"/>
      <c r="B32" s="258"/>
      <c r="C32" s="65" t="s">
        <v>312</v>
      </c>
      <c r="D32" s="127" t="s">
        <v>149</v>
      </c>
      <c r="E32" s="172" t="s">
        <v>100</v>
      </c>
      <c r="F32" s="68">
        <v>1</v>
      </c>
      <c r="G32" s="69">
        <f t="shared" si="0"/>
        <v>0</v>
      </c>
      <c r="H32" s="28"/>
      <c r="I32" s="28"/>
      <c r="J32" s="28"/>
      <c r="K32" s="28"/>
      <c r="L32" s="28"/>
    </row>
    <row r="33" spans="1:12" ht="18.600000000000001" thickBot="1" x14ac:dyDescent="0.75">
      <c r="A33" s="28"/>
      <c r="B33" s="28"/>
      <c r="C33" s="28"/>
      <c r="D33" s="28"/>
      <c r="E33" s="229" t="s">
        <v>109</v>
      </c>
      <c r="F33" s="230"/>
      <c r="G33" s="42">
        <f>SUM(G8:G32)</f>
        <v>0</v>
      </c>
      <c r="H33" s="28"/>
      <c r="I33" s="28"/>
      <c r="J33" s="28"/>
      <c r="K33" s="28"/>
      <c r="L33" s="28"/>
    </row>
    <row r="34" spans="1:12" ht="18.600000000000001" thickBot="1" x14ac:dyDescent="0.75">
      <c r="A34" s="28"/>
      <c r="B34" s="28"/>
      <c r="C34" s="28"/>
      <c r="D34" s="28"/>
      <c r="E34" s="43" t="s">
        <v>111</v>
      </c>
      <c r="F34" s="254" t="str">
        <f>_xlfn.LET(
    _xlpm.naCount, COUNTIF(E8:E32, "N/A"),
    _xlpm.totalCount, ROWS(E8:E32),
    _xlpm.actualScore, SUM(G8:G32),
    _xlpm.maxScore, SUMIF(E8:E32, "&lt;&gt;N/A", F8:F32) * 3,
    _xlpm.ratio, IF(_xlpm.maxScore=0, 0, _xlpm.actualScore / _xlpm.maxScore),
    _xlpm.catastrophicPathwayFail, OR(E13="Non-Compliant", E23="Non-Compliant", E24="Non-Compliant", E25="Non-Compliant"),
    IF(_xlpm.naCount=_xlpm.totalCount, "N/A - Not Assessed",
    IF(_xlpm.catastrophicPathwayFail, "Catastrophic",
    IF(_xlpm.ratio &lt;= 0.4, "Negligible",
    IF(_xlpm.ratio &lt;= 0.65, "Marginal",
    IF(_xlpm.ratio &lt;= 0.85, "Critical",
    "Catastrophic")))
    ))
)</f>
        <v>N/A - Not Assessed</v>
      </c>
      <c r="G34" s="255"/>
      <c r="H34" s="28"/>
      <c r="I34" s="28"/>
      <c r="J34" s="28"/>
      <c r="K34" s="28"/>
      <c r="L34" s="28"/>
    </row>
    <row r="35" spans="1:12" ht="18.3" x14ac:dyDescent="0.7">
      <c r="A35" s="28"/>
      <c r="B35" s="28"/>
      <c r="C35" s="28"/>
      <c r="D35" s="28"/>
      <c r="E35" s="28"/>
      <c r="F35" s="28"/>
      <c r="G35" s="28"/>
      <c r="H35" s="28"/>
      <c r="I35" s="28"/>
      <c r="J35" s="28"/>
      <c r="K35" s="28"/>
      <c r="L35" s="28"/>
    </row>
    <row r="36" spans="1:12" ht="18.3" x14ac:dyDescent="0.7">
      <c r="A36" s="28"/>
      <c r="B36" s="28"/>
      <c r="C36" s="28"/>
      <c r="D36" s="28"/>
      <c r="H36" s="28"/>
      <c r="I36" s="28"/>
      <c r="J36" s="28"/>
      <c r="K36" s="28"/>
      <c r="L36" s="28"/>
    </row>
    <row r="37" spans="1:12" s="2" customFormat="1" x14ac:dyDescent="0.55000000000000004"/>
    <row r="38" spans="1:12" x14ac:dyDescent="0.55000000000000004"/>
  </sheetData>
  <sheetProtection sheet="1" objects="1" scenarios="1"/>
  <mergeCells count="24">
    <mergeCell ref="I7:K7"/>
    <mergeCell ref="B2:H2"/>
    <mergeCell ref="B5:E5"/>
    <mergeCell ref="I2:K2"/>
    <mergeCell ref="B3:E3"/>
    <mergeCell ref="J3:K3"/>
    <mergeCell ref="B4:E4"/>
    <mergeCell ref="J4:K4"/>
    <mergeCell ref="J5:K5"/>
    <mergeCell ref="I28:K30"/>
    <mergeCell ref="I27:K27"/>
    <mergeCell ref="B8:B12"/>
    <mergeCell ref="B17:B18"/>
    <mergeCell ref="B19:B22"/>
    <mergeCell ref="J10:K10"/>
    <mergeCell ref="B13:B16"/>
    <mergeCell ref="J8:K8"/>
    <mergeCell ref="J9:K9"/>
    <mergeCell ref="J11:K11"/>
    <mergeCell ref="E33:F33"/>
    <mergeCell ref="F34:G34"/>
    <mergeCell ref="B23:B25"/>
    <mergeCell ref="B26:B28"/>
    <mergeCell ref="B29:B32"/>
  </mergeCells>
  <phoneticPr fontId="24" type="noConversion"/>
  <conditionalFormatting sqref="E8:E32">
    <cfRule type="containsText" dxfId="10" priority="6" operator="containsText" text="N/A">
      <formula>NOT(ISERROR(SEARCH("N/A",E8)))</formula>
    </cfRule>
    <cfRule type="containsText" dxfId="9" priority="7" operator="containsText" text="Non-Compliant">
      <formula>NOT(ISERROR(SEARCH("Non-Compliant",E8)))</formula>
    </cfRule>
    <cfRule type="containsText" dxfId="8" priority="8" operator="containsText" text="Partially Compliant">
      <formula>NOT(ISERROR(SEARCH("Partially Compliant",E8)))</formula>
    </cfRule>
    <cfRule type="containsText" dxfId="7" priority="9" operator="containsText" text="Fully Compliant">
      <formula>NOT(ISERROR(SEARCH("Fully Compliant",E8)))</formula>
    </cfRule>
  </conditionalFormatting>
  <conditionalFormatting sqref="F34:G34">
    <cfRule type="containsText" dxfId="6" priority="2" operator="containsText" text="Negligible">
      <formula>NOT(ISERROR(SEARCH("Negligible",F34)))</formula>
    </cfRule>
    <cfRule type="containsText" dxfId="5" priority="3" operator="containsText" text="Marginal">
      <formula>NOT(ISERROR(SEARCH("Marginal",F34)))</formula>
    </cfRule>
    <cfRule type="containsText" dxfId="4" priority="4" operator="containsText" text="Catastrophic">
      <formula>NOT(ISERROR(SEARCH("Catastrophic",F34)))</formula>
    </cfRule>
    <cfRule type="containsText" dxfId="3" priority="5" operator="containsText" text="Critical">
      <formula>NOT(ISERROR(SEARCH("Critical",F34)))</formula>
    </cfRule>
  </conditionalFormatting>
  <dataValidations disablePrompts="1" count="1">
    <dataValidation type="list" allowBlank="1" showInputMessage="1" showErrorMessage="1" errorTitle="Invalid Entry" error="Please select an approved evaluation tier from the drop-down list. Custom entries are not permitted to ensure framework scoring integrity." sqref="E8:E32" xr:uid="{D9B22AA6-A3AC-4946-B805-5769A61E6BD0}">
      <formula1>"Fully Compliant, Partially Compliant, Non-Compliant, N/A, "</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3A02B-F06A-42A1-90B9-9C7B9672854B}">
  <sheetPr codeName="Sheet6">
    <tabColor rgb="FFFF5050"/>
  </sheetPr>
  <dimension ref="A1:S16"/>
  <sheetViews>
    <sheetView workbookViewId="0"/>
  </sheetViews>
  <sheetFormatPr defaultColWidth="0" defaultRowHeight="18.3" zeroHeight="1" x14ac:dyDescent="0.7"/>
  <cols>
    <col min="1" max="1" width="7.15625" style="28" customWidth="1"/>
    <col min="2" max="2" width="19.41796875" style="28" bestFit="1" customWidth="1"/>
    <col min="3" max="3" width="23.15625" style="28" bestFit="1" customWidth="1"/>
    <col min="4" max="4" width="9.15625" style="28" bestFit="1" customWidth="1"/>
    <col min="5" max="10" width="16.578125" style="28" customWidth="1"/>
    <col min="11" max="11" width="9.15625" style="28" customWidth="1"/>
    <col min="12" max="19" width="0" style="4" hidden="1" customWidth="1"/>
    <col min="20" max="16384" width="9.15625" style="4" hidden="1"/>
  </cols>
  <sheetData>
    <row r="1" spans="2:10" ht="19.5" customHeight="1" thickBot="1" x14ac:dyDescent="0.75"/>
    <row r="2" spans="2:10" ht="19.5" customHeight="1" thickBot="1" x14ac:dyDescent="0.75">
      <c r="B2" s="277" t="s">
        <v>164</v>
      </c>
      <c r="C2" s="278"/>
      <c r="E2" s="284" t="s">
        <v>255</v>
      </c>
      <c r="F2" s="284"/>
      <c r="G2" s="284"/>
      <c r="H2" s="284"/>
      <c r="I2" s="284"/>
      <c r="J2" s="284"/>
    </row>
    <row r="3" spans="2:10" ht="23.25" customHeight="1" thickBot="1" x14ac:dyDescent="0.75">
      <c r="B3" s="70" t="s">
        <v>154</v>
      </c>
      <c r="C3" s="44" t="b">
        <f>IF('Bypass Option'!J9=TRUE, TRUE, FALSE)</f>
        <v>0</v>
      </c>
      <c r="E3" s="284"/>
      <c r="F3" s="284"/>
      <c r="G3" s="284"/>
      <c r="H3" s="284"/>
      <c r="I3" s="284"/>
      <c r="J3" s="284"/>
    </row>
    <row r="4" spans="2:10" ht="23.25" customHeight="1" thickBot="1" x14ac:dyDescent="0.75">
      <c r="B4" s="70" t="s">
        <v>254</v>
      </c>
      <c r="C4" s="44" t="str">
        <f>'Flight Environment Risk Part 1'!E15</f>
        <v>PASS</v>
      </c>
      <c r="E4" s="284"/>
      <c r="F4" s="284"/>
      <c r="G4" s="284"/>
      <c r="H4" s="284"/>
      <c r="I4" s="284"/>
      <c r="J4" s="284"/>
    </row>
    <row r="5" spans="2:10" ht="30" customHeight="1" thickBot="1" x14ac:dyDescent="0.75">
      <c r="B5" s="70" t="s">
        <v>155</v>
      </c>
      <c r="C5" s="44" t="str">
        <f>IF(C3=TRUE, "Negligible", IF(C4="FAIL", "Catastrophic", 'Flight Environment Risk Part 2'!F34))</f>
        <v>N/A - Not Assessed</v>
      </c>
      <c r="E5" s="284"/>
      <c r="F5" s="284"/>
      <c r="G5" s="284"/>
      <c r="H5" s="284"/>
      <c r="I5" s="284"/>
      <c r="J5" s="284"/>
    </row>
    <row r="6" spans="2:10" ht="30.75" customHeight="1" thickBot="1" x14ac:dyDescent="0.75">
      <c r="B6" s="70" t="s">
        <v>156</v>
      </c>
      <c r="C6" s="44" t="str">
        <f>_xlfn.LET(
  _xlpm.dfamProb, DfAM!V5,
  _xlpm.printProb, '3D Print Risk'!F30,
  _xlpm.humanProb, 'Human Interface Risk'!H14,
  IF(C4="FAIL", "High",
  IF(OR(_xlpm.dfamProb="High", _xlpm.printProb="High", _xlpm.humanProb="High"), "High",
  IF(OR(_xlpm.dfamProb="Probable", _xlpm.printProb="Probable", _xlpm.humanProb="Probable"), "Probable",
  IF(OR(_xlpm.dfamProb="Uncertain", _xlpm.printProb="Uncertain", _xlpm.humanProb="Uncertain"), "Uncertain",
  IF(OR(_xlpm.dfamProb="Remote", _xlpm.printProb="Remote", _xlpm.humanProb="Remote"), "Remote",
  "Improbable")))))
)</f>
        <v>Improbable</v>
      </c>
      <c r="E6" s="284"/>
      <c r="F6" s="284"/>
      <c r="G6" s="284"/>
      <c r="H6" s="284"/>
      <c r="I6" s="284"/>
      <c r="J6" s="284"/>
    </row>
    <row r="7" spans="2:10" x14ac:dyDescent="0.7">
      <c r="F7" s="282" t="s">
        <v>240</v>
      </c>
      <c r="G7" s="282"/>
      <c r="H7" s="282"/>
      <c r="I7" s="282"/>
      <c r="J7" s="282"/>
    </row>
    <row r="8" spans="2:10" ht="18.600000000000001" thickBot="1" x14ac:dyDescent="0.75">
      <c r="F8" s="283"/>
      <c r="G8" s="283"/>
      <c r="H8" s="283"/>
      <c r="I8" s="283"/>
      <c r="J8" s="283"/>
    </row>
    <row r="9" spans="2:10" x14ac:dyDescent="0.7">
      <c r="F9" s="274" t="s">
        <v>104</v>
      </c>
      <c r="G9" s="275"/>
      <c r="H9" s="275"/>
      <c r="I9" s="275"/>
      <c r="J9" s="276"/>
    </row>
    <row r="10" spans="2:10" ht="18.600000000000001" thickBot="1" x14ac:dyDescent="0.75">
      <c r="E10" s="71"/>
      <c r="F10" s="72" t="s">
        <v>81</v>
      </c>
      <c r="G10" s="73" t="s">
        <v>82</v>
      </c>
      <c r="H10" s="73" t="s">
        <v>83</v>
      </c>
      <c r="I10" s="73" t="s">
        <v>84</v>
      </c>
      <c r="J10" s="74" t="s">
        <v>85</v>
      </c>
    </row>
    <row r="11" spans="2:10" ht="18.600000000000001" thickBot="1" x14ac:dyDescent="0.75">
      <c r="D11" s="279" t="s">
        <v>103</v>
      </c>
      <c r="E11" s="75" t="s">
        <v>86</v>
      </c>
      <c r="F11" s="86" t="str">
        <f>IF(AND($E11=$C$5, F$10=$C$6), "X", "")</f>
        <v/>
      </c>
      <c r="G11" s="87" t="str">
        <f t="shared" ref="F11:J14" si="0">IF(AND($E11=$C$5, G$10=$C$6), "X", "")</f>
        <v/>
      </c>
      <c r="H11" s="87" t="str">
        <f t="shared" si="0"/>
        <v/>
      </c>
      <c r="I11" s="88" t="str">
        <f t="shared" si="0"/>
        <v/>
      </c>
      <c r="J11" s="89" t="str">
        <f t="shared" si="0"/>
        <v/>
      </c>
    </row>
    <row r="12" spans="2:10" ht="18.600000000000001" thickBot="1" x14ac:dyDescent="0.75">
      <c r="D12" s="280"/>
      <c r="E12" s="79" t="s">
        <v>87</v>
      </c>
      <c r="F12" s="90" t="str">
        <f t="shared" si="0"/>
        <v/>
      </c>
      <c r="G12" s="76" t="str">
        <f t="shared" si="0"/>
        <v/>
      </c>
      <c r="H12" s="77" t="str">
        <f t="shared" si="0"/>
        <v/>
      </c>
      <c r="I12" s="77" t="str">
        <f t="shared" si="0"/>
        <v/>
      </c>
      <c r="J12" s="78" t="str">
        <f t="shared" si="0"/>
        <v/>
      </c>
    </row>
    <row r="13" spans="2:10" ht="18.600000000000001" thickBot="1" x14ac:dyDescent="0.75">
      <c r="D13" s="280"/>
      <c r="E13" s="79" t="s">
        <v>88</v>
      </c>
      <c r="F13" s="91" t="str">
        <f t="shared" si="0"/>
        <v/>
      </c>
      <c r="G13" s="77" t="str">
        <f t="shared" si="0"/>
        <v/>
      </c>
      <c r="H13" s="77" t="str">
        <f t="shared" si="0"/>
        <v/>
      </c>
      <c r="I13" s="78" t="str">
        <f t="shared" si="0"/>
        <v/>
      </c>
      <c r="J13" s="78" t="str">
        <f t="shared" si="0"/>
        <v/>
      </c>
    </row>
    <row r="14" spans="2:10" ht="18.600000000000001" thickBot="1" x14ac:dyDescent="0.75">
      <c r="D14" s="281"/>
      <c r="E14" s="80" t="s">
        <v>89</v>
      </c>
      <c r="F14" s="92" t="str">
        <f t="shared" si="0"/>
        <v/>
      </c>
      <c r="G14" s="78" t="str">
        <f t="shared" si="0"/>
        <v/>
      </c>
      <c r="H14" s="78" t="str">
        <f t="shared" si="0"/>
        <v/>
      </c>
      <c r="I14" s="78" t="str">
        <f t="shared" si="0"/>
        <v/>
      </c>
      <c r="J14" s="78" t="str">
        <f t="shared" si="0"/>
        <v/>
      </c>
    </row>
    <row r="15" spans="2:10" x14ac:dyDescent="0.7">
      <c r="D15" s="85"/>
    </row>
    <row r="16" spans="2:10" x14ac:dyDescent="0.7"/>
  </sheetData>
  <sheetProtection sheet="1" objects="1" scenarios="1"/>
  <mergeCells count="5">
    <mergeCell ref="F9:J9"/>
    <mergeCell ref="B2:C2"/>
    <mergeCell ref="D11:D14"/>
    <mergeCell ref="F7:J8"/>
    <mergeCell ref="E2:J6"/>
  </mergeCells>
  <conditionalFormatting sqref="C3">
    <cfRule type="containsText" dxfId="2" priority="1" operator="containsText" text="True">
      <formula>NOT(ISERROR(SEARCH("True",C3)))</formula>
    </cfRule>
  </conditionalFormatting>
  <conditionalFormatting sqref="C4">
    <cfRule type="containsText" dxfId="1" priority="2" operator="containsText" text="Fail">
      <formula>NOT(ISERROR(SEARCH("Fail",C4)))</formula>
    </cfRule>
    <cfRule type="containsText" dxfId="0" priority="3" operator="containsText" text="Pass">
      <formula>NOT(ISERROR(SEARCH("Pass",C4)))</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63ea90-71db-43b2-8222-14edeebf00bc">
      <Terms xmlns="http://schemas.microsoft.com/office/infopath/2007/PartnerControls"/>
    </lcf76f155ced4ddcb4097134ff3c332f>
    <TaxCatchAll xmlns="f55733a3-1a09-49fa-8d52-8ab2d3e654a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295E0675139CB4788D273917ECD2B33" ma:contentTypeVersion="11" ma:contentTypeDescription="Create a new document." ma:contentTypeScope="" ma:versionID="c19926efdcb7608ea7c650aeff542596">
  <xsd:schema xmlns:xsd="http://www.w3.org/2001/XMLSchema" xmlns:xs="http://www.w3.org/2001/XMLSchema" xmlns:p="http://schemas.microsoft.com/office/2006/metadata/properties" xmlns:ns2="b563ea90-71db-43b2-8222-14edeebf00bc" xmlns:ns3="f55733a3-1a09-49fa-8d52-8ab2d3e654ab" targetNamespace="http://schemas.microsoft.com/office/2006/metadata/properties" ma:root="true" ma:fieldsID="cf04686b055658bfd29ac7362be7ee18" ns2:_="" ns3:_="">
    <xsd:import namespace="b563ea90-71db-43b2-8222-14edeebf00bc"/>
    <xsd:import namespace="f55733a3-1a09-49fa-8d52-8ab2d3e654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563ea90-71db-43b2-8222-14edeebf00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592aa8c-0f0d-4f6e-81f1-683b77c6d13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55733a3-1a09-49fa-8d52-8ab2d3e654a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e5e7c050-5d47-4c68-980e-ddd040e1e540}" ma:internalName="TaxCatchAll" ma:showField="CatchAllData" ma:web="f55733a3-1a09-49fa-8d52-8ab2d3e654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284242-057B-41ED-BBE7-10B38E97D94A}">
  <ds:schemaRefs>
    <ds:schemaRef ds:uri="http://schemas.microsoft.com/sharepoint/v3/contenttype/forms"/>
  </ds:schemaRefs>
</ds:datastoreItem>
</file>

<file path=customXml/itemProps2.xml><?xml version="1.0" encoding="utf-8"?>
<ds:datastoreItem xmlns:ds="http://schemas.openxmlformats.org/officeDocument/2006/customXml" ds:itemID="{0035D6C8-0283-4B3D-B99E-E1E9CCB70F20}">
  <ds:schemaRefs>
    <ds:schemaRef ds:uri="http://purl.org/dc/dcmitype/"/>
    <ds:schemaRef ds:uri="http://schemas.microsoft.com/office/2006/metadata/properties"/>
    <ds:schemaRef ds:uri="http://purl.org/dc/elements/1.1/"/>
    <ds:schemaRef ds:uri="http://www.w3.org/XML/1998/namespace"/>
    <ds:schemaRef ds:uri="http://schemas.microsoft.com/office/infopath/2007/PartnerControls"/>
    <ds:schemaRef ds:uri="http://schemas.microsoft.com/office/2006/documentManagement/types"/>
    <ds:schemaRef ds:uri="http://schemas.openxmlformats.org/package/2006/metadata/core-properties"/>
    <ds:schemaRef ds:uri="f55733a3-1a09-49fa-8d52-8ab2d3e654ab"/>
    <ds:schemaRef ds:uri="b563ea90-71db-43b2-8222-14edeebf00bc"/>
    <ds:schemaRef ds:uri="http://purl.org/dc/terms/"/>
  </ds:schemaRefs>
</ds:datastoreItem>
</file>

<file path=customXml/itemProps3.xml><?xml version="1.0" encoding="utf-8"?>
<ds:datastoreItem xmlns:ds="http://schemas.openxmlformats.org/officeDocument/2006/customXml" ds:itemID="{A7D4CB6D-A42D-443A-B6CC-68122EC3C2D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563ea90-71db-43b2-8222-14edeebf00bc"/>
    <ds:schemaRef ds:uri="f55733a3-1a09-49fa-8d52-8ab2d3e654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START HERE</vt:lpstr>
      <vt:lpstr>DfAM</vt:lpstr>
      <vt:lpstr>3D Print Risk</vt:lpstr>
      <vt:lpstr>Human Interface Risk</vt:lpstr>
      <vt:lpstr>Bypass Option</vt:lpstr>
      <vt:lpstr>Flight Environment Risk Part 1</vt:lpstr>
      <vt:lpstr>Flight Environment Risk Part 2</vt:lpstr>
      <vt:lpstr>Risk Matrix OUTPUT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 Duke</dc:creator>
  <cp:lastModifiedBy>Collin Duke</cp:lastModifiedBy>
  <dcterms:created xsi:type="dcterms:W3CDTF">2026-06-29T17:32:32Z</dcterms:created>
  <dcterms:modified xsi:type="dcterms:W3CDTF">2026-09-20T07:14:56Z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0x0101002295E0675139CB4788D273917ECD2B33</vt:lpwstr>
  </property>
  <property fmtid="{D5CDD505-2E9C-101B-9397-08002B2CF9AE}" pid="3" name="MediaServiceImageTags">
    <vt:lpwstr/>
  </property>
</Properties>
</file>